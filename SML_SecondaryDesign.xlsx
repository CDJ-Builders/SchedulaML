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eature Transfer" sheetId="2" state="visible" r:id="rId4"/>
    <sheet name="Data Dictionary" sheetId="3" state="visible" r:id="rId5"/>
    <sheet name="Example Row" sheetId="4" state="visible" r:id="rId6"/>
    <sheet name="Secondary Data Issues" sheetId="5" state="visible" r:id="rId7"/>
  </sheets>
  <definedNames>
    <definedName function="false" hidden="true" localSheetId="2" name="_xlnm._FilterDatabase" vbProcedure="false">'Data Dictionary'!$A$4:$I$48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<sst xmlns="http://schemas.openxmlformats.org/spreadsheetml/2006/main" count="757" uniqueCount="364">
  <si>
    <t xml:space="preserve">SchedulaML Primary Dataset - Design Summary</t>
  </si>
  <si>
    <t xml:space="preserve">Unit of analysis</t>
  </si>
  <si>
    <t xml:space="preserve">One row = one respondent answering one scenario (a generated weekly schedule + a meeting request).</t>
  </si>
  <si>
    <t xml:space="preserve">How it is collected</t>
  </si>
  <si>
    <t xml:space="preserve">Survey Part 1: profile + preferences, asked once and repeated on every row. Part 2: each respondent places a meeting in about 6 scenarios plus 1 repeated scenario. Free blocks only are selectable, so every label is feasible.</t>
  </si>
  <si>
    <t xml:space="preserve">Targets</t>
  </si>
  <si>
    <t xml:space="preserve">target_day and target_start_time (combined as target_slot_id). Optional 2nd and 3rd choices support top-k and ranking use.</t>
  </si>
  <si>
    <t xml:space="preserve">Long format (derived later)</t>
  </si>
  <si>
    <t xml:space="preserve">Each row can be expanded into one row per feasible candidate slot (chosen = 1, others = 0) for ranking models. Not collected directly.</t>
  </si>
  <si>
    <t xml:space="preserve">Not model features</t>
  </si>
  <si>
    <t xml:space="preserve">respondent_id, source_student_hash, choice_reason, choice_confidence, targets, QC fields.</t>
  </si>
  <si>
    <t xml:space="preserve">Privacy</t>
  </si>
  <si>
    <t xml:space="preserve">Anonymous codes only; consent recorded first (Data Privacy Act of 2012, RA 10173). No names, emails or student numbers are carried over from the secondary dataset.</t>
  </si>
  <si>
    <t xml:space="preserve">Column count by source</t>
  </si>
  <si>
    <t xml:space="preserve">No. of columns</t>
  </si>
  <si>
    <t xml:space="preserve">Pre-generated</t>
  </si>
  <si>
    <t xml:space="preserve">Survey</t>
  </si>
  <si>
    <t xml:space="preserve">Derived</t>
  </si>
  <si>
    <t xml:space="preserve">System</t>
  </si>
  <si>
    <t xml:space="preserve">Total columns</t>
  </si>
  <si>
    <t xml:space="preserve">Column count by role</t>
  </si>
  <si>
    <t xml:space="preserve">Context feature</t>
  </si>
  <si>
    <t xml:space="preserve">Scenario condition</t>
  </si>
  <si>
    <t xml:space="preserve">Profile feature</t>
  </si>
  <si>
    <t xml:space="preserve">Preference feature</t>
  </si>
  <si>
    <t xml:space="preserve">Target</t>
  </si>
  <si>
    <t xml:space="preserve">Auxiliary label</t>
  </si>
  <si>
    <t xml:space="preserve">ID</t>
  </si>
  <si>
    <t xml:space="preserve">Metadata</t>
  </si>
  <si>
    <t xml:space="preserve">Role counts include the rows marked "(suggested)".</t>
  </si>
  <si>
    <t xml:space="preserve">Step 1 - What to transfer from the Secondary Dataset</t>
  </si>
  <si>
    <t xml:space="preserve">Secondary sheet</t>
  </si>
  <si>
    <t xml:space="preserve">Column</t>
  </si>
  <si>
    <t xml:space="preserve">Decision</t>
  </si>
  <si>
    <t xml:space="preserve">Use in Primary Dataset / reason</t>
  </si>
  <si>
    <t xml:space="preserve">rdb_timeslots</t>
  </si>
  <si>
    <t xml:space="preserve">day</t>
  </si>
  <si>
    <t xml:space="preserve">Keep</t>
  </si>
  <si>
    <t xml:space="preserve">Day axis of the weekly grid (Mon-Fri).</t>
  </si>
  <si>
    <t xml:space="preserve">start_time</t>
  </si>
  <si>
    <t xml:space="preserve">Keep (snap to hour)</t>
  </si>
  <si>
    <t xml:space="preserve">Start hour of each class block; start hours span 08:00-18:00, which sets the 08:00-17:00 start window.</t>
  </si>
  <si>
    <t xml:space="preserve">end_time</t>
  </si>
  <si>
    <t xml:space="preserve">Repair first</t>
  </si>
  <si>
    <t xml:space="preserve">44 of 100 rows end at or before they start, and blocks run up to 11 hours. Rebuild end = start + block length (1-3 h).</t>
  </si>
  <si>
    <t xml:space="preserve">rdb_schedule</t>
  </si>
  <si>
    <t xml:space="preserve">student_id</t>
  </si>
  <si>
    <t xml:space="preserve">Keep (hashed)</t>
  </si>
  <si>
    <t xml:space="preserve">Seed for each scenario -&gt; source_student_hash. Gives realistic day/time patterns without exposing the ID.</t>
  </si>
  <si>
    <t xml:space="preserve">timeslot_id</t>
  </si>
  <si>
    <t xml:space="preserve">Defines which blocks of the weekly grid are occupied (sched_* columns).</t>
  </si>
  <si>
    <t xml:space="preserve">course_id</t>
  </si>
  <si>
    <t xml:space="preserve">Optional</t>
  </si>
  <si>
    <t xml:space="preserve">Only to look up credits (below). Never used as a feature.</t>
  </si>
  <si>
    <t xml:space="preserve">rdb_courses</t>
  </si>
  <si>
    <t xml:space="preserve">credits</t>
  </si>
  <si>
    <t xml:space="preserve">Can set class block length (credits = hours, capped at 3).</t>
  </si>
  <si>
    <t xml:space="preserve">rdb_schedule / rdb_classrooms</t>
  </si>
  <si>
    <t xml:space="preserve">classroom_id -&gt; room_type</t>
  </si>
  <si>
    <t xml:space="preserve">Lecture Hall / Classroom / Lab could become a class-type tag. Classes default to ON (onsite); some are generated as OL (online).</t>
  </si>
  <si>
    <t xml:space="preserve">rdb_classrooms</t>
  </si>
  <si>
    <t xml:space="preserve">building_name</t>
  </si>
  <si>
    <t xml:space="preserve">Optional (later)</t>
  </si>
  <si>
    <t xml:space="preserve">Only useful if a campus-travel feature is added.</t>
  </si>
  <si>
    <t xml:space="preserve">room_number, capacity</t>
  </si>
  <si>
    <t xml:space="preserve">Drop</t>
  </si>
  <si>
    <t xml:space="preserve">No effect on when a person should meet.</t>
  </si>
  <si>
    <t xml:space="preserve">course_name, department, description</t>
  </si>
  <si>
    <t xml:space="preserve">Random text; not a scheduling feature.</t>
  </si>
  <si>
    <t xml:space="preserve">rdb_professors</t>
  </si>
  <si>
    <t xml:space="preserve">all columns</t>
  </si>
  <si>
    <t xml:space="preserve">Instructor attributes and contact details are irrelevant to one person finding a meeting time.</t>
  </si>
  <si>
    <t xml:space="preserve">rdb_students</t>
  </si>
  <si>
    <t xml:space="preserve">first_name, last_name, email, phone_number, address</t>
  </si>
  <si>
    <t xml:space="preserve">Personal data (even if synthetic). Do not carry into the survey dataset.</t>
  </si>
  <si>
    <t xml:space="preserve">program_name, year</t>
  </si>
  <si>
    <t xml:space="preserve">Replaced by what the respondent reports (year_level, respondent_role).</t>
  </si>
  <si>
    <t xml:space="preserve">synthesized</t>
  </si>
  <si>
    <t xml:space="preserve">Timetable</t>
  </si>
  <si>
    <t xml:space="preserve">Use for validation</t>
  </si>
  <si>
    <t xml:space="preserve">30 clean hourly slots (Mon-Fri, 08-11 and 13-16). Convert 12-hour text to 24-hour (1:00 = 13:00).</t>
  </si>
  <si>
    <t xml:space="preserve">Program, Year, Section, Column, Course Code, Instructor, Room</t>
  </si>
  <si>
    <t xml:space="preserve">Section-level timetable, not an individual schedule.</t>
  </si>
  <si>
    <t xml:space="preserve">SchedulaML Primary Dataset - Data Dictionary</t>
  </si>
  <si>
    <t xml:space="preserve">One row = one respondent x one scenario. Pattern rows (with {day}, {bin}, {HH00}) expand to the number of columns shown. Source colors: blue = pre-generated, green = survey, yellow = derived (computed), grey = system.</t>
  </si>
  <si>
    <t xml:space="preserve">#</t>
  </si>
  <si>
    <t xml:space="preserve">Group</t>
  </si>
  <si>
    <t xml:space="preserve">Column / pattern</t>
  </si>
  <si>
    <t xml:space="preserve">Source</t>
  </si>
  <si>
    <t xml:space="preserve">Role</t>
  </si>
  <si>
    <t xml:space="preserve">Data type</t>
  </si>
  <si>
    <t xml:space="preserve">Allowed values</t>
  </si>
  <si>
    <t xml:space="preserve">Survey question / generation rule</t>
  </si>
  <si>
    <t xml:space="preserve">A. IDs &amp; scenario</t>
  </si>
  <si>
    <t xml:space="preserve">response_id</t>
  </si>
  <si>
    <t xml:space="preserve">string</t>
  </si>
  <si>
    <t xml:space="preserve">auto-generated</t>
  </si>
  <si>
    <t xml:space="preserve">One row = one respondent answering one scenario.</t>
  </si>
  <si>
    <t xml:space="preserve">respondent_id</t>
  </si>
  <si>
    <t xml:space="preserve">anonymous code (e.g., R042)</t>
  </si>
  <si>
    <t xml:space="preserve">No names, emails or student numbers stored.</t>
  </si>
  <si>
    <t xml:space="preserve">scenario_id</t>
  </si>
  <si>
    <t xml:space="preserve">SC001 ...</t>
  </si>
  <si>
    <t xml:space="preserve">Identifies the generated weekly schedule shown to the respondent.</t>
  </si>
  <si>
    <t xml:space="preserve">scenario_order</t>
  </si>
  <si>
    <t xml:space="preserve">int</t>
  </si>
  <si>
    <t xml:space="preserve">1-7</t>
  </si>
  <si>
    <t xml:space="preserve">Order in which the scenario was shown (checks fatigue effects).</t>
  </si>
  <si>
    <t xml:space="preserve">source_student_hash</t>
  </si>
  <si>
    <t xml:space="preserve">hashed ID</t>
  </si>
  <si>
    <t xml:space="preserve">Hash of the rdb_schedule student_id used as the seed; traceability only, never a feature.</t>
  </si>
  <si>
    <t xml:space="preserve">density_tier</t>
  </si>
  <si>
    <t xml:space="preserve">categorical</t>
  </si>
  <si>
    <t xml:space="preserve">Light / Medium / Heavy</t>
  </si>
  <si>
    <t xml:space="preserve">Weekly class load of the scenario (secondary data is sparse, so tiers are generated).</t>
  </si>
  <si>
    <t xml:space="preserve">B. Meeting request (scenario condition)</t>
  </si>
  <si>
    <t xml:space="preserve">meeting_length_min</t>
  </si>
  <si>
    <t xml:space="preserve">60 / 120</t>
  </si>
  <si>
    <t xml:space="preserve">Length of the meeting the respondent must place. Shown on screen.</t>
  </si>
  <si>
    <t xml:space="preserve">meeting_modality</t>
  </si>
  <si>
    <t xml:space="preserve">Online / Onsite</t>
  </si>
  <si>
    <t xml:space="preserve">Modality of the meeting to be placed. Shown on screen.</t>
  </si>
  <si>
    <t xml:space="preserve">meeting_type</t>
  </si>
  <si>
    <t xml:space="preserve">Group project / Org meeting / Consultation</t>
  </si>
  <si>
    <t xml:space="preserve">Purpose of the meeting (context only).</t>
  </si>
  <si>
    <t xml:space="preserve">C. Weekly schedule context</t>
  </si>
  <si>
    <t xml:space="preserve">sched_{day}_{HH00}</t>
  </si>
  <si>
    <t xml:space="preserve">F = free, ON = onsite class, OL = online class</t>
  </si>
  <si>
    <t xml:space="preserve">State of each hourly block, Mon-Fri, start times 08:00-17:00 (5 days x 10 blocks). Blocks come from the repaired timeslots and rdb_schedule.</t>
  </si>
  <si>
    <t xml:space="preserve">D. Derived schedule features</t>
  </si>
  <si>
    <t xml:space="preserve">total_class_hours</t>
  </si>
  <si>
    <t xml:space="preserve">0-50</t>
  </si>
  <si>
    <t xml:space="preserve">Count of occupied blocks in the week.</t>
  </si>
  <si>
    <t xml:space="preserve">class_hours_{day}</t>
  </si>
  <si>
    <t xml:space="preserve">0-10</t>
  </si>
  <si>
    <t xml:space="preserve">Occupied blocks per day (daily load).</t>
  </si>
  <si>
    <t xml:space="preserve">n_class_days</t>
  </si>
  <si>
    <t xml:space="preserve">0-5</t>
  </si>
  <si>
    <t xml:space="preserve">Days with at least one class.</t>
  </si>
  <si>
    <t xml:space="preserve">earliest_class_start</t>
  </si>
  <si>
    <t xml:space="preserve">int (hour)</t>
  </si>
  <si>
    <t xml:space="preserve">8-17</t>
  </si>
  <si>
    <t xml:space="preserve">Earliest class hour in the week.</t>
  </si>
  <si>
    <t xml:space="preserve">latest_class_end</t>
  </si>
  <si>
    <t xml:space="preserve">9-18</t>
  </si>
  <si>
    <t xml:space="preserve">Latest class end hour in the week.</t>
  </si>
  <si>
    <t xml:space="preserve">longest_free_block_hrs</t>
  </si>
  <si>
    <t xml:space="preserve">Longest run of free blocks on any day.</t>
  </si>
  <si>
    <t xml:space="preserve">n_inter_class_gaps</t>
  </si>
  <si>
    <t xml:space="preserve">0-20</t>
  </si>
  <si>
    <t xml:space="preserve">Free gaps lying between two classes on the same day (fragmentation).</t>
  </si>
  <si>
    <t xml:space="preserve">n_feasible_slots</t>
  </si>
  <si>
    <t xml:space="preserve">&gt;= 4 (enforced)</t>
  </si>
  <si>
    <t xml:space="preserve">Number of (day, start) options where the whole meeting fits in free blocks. Scenarios are generated so this is never 0.</t>
  </si>
  <si>
    <t xml:space="preserve">E. Respondent profile</t>
  </si>
  <si>
    <t xml:space="preserve">respondent_role</t>
  </si>
  <si>
    <t xml:space="preserve">Student / Student org officer / Faculty / Working professional</t>
  </si>
  <si>
    <t xml:space="preserve">Q: Which best describes you?</t>
  </si>
  <si>
    <t xml:space="preserve">year_level</t>
  </si>
  <si>
    <t xml:space="preserve">1st / 2nd / 3rd / 4th / 5th+ / Not applicable</t>
  </si>
  <si>
    <t xml:space="preserve">Q: What year level are you in?</t>
  </si>
  <si>
    <t xml:space="preserve">commute_time_bin</t>
  </si>
  <si>
    <t xml:space="preserve">ordinal</t>
  </si>
  <si>
    <t xml:space="preserve">&lt;15 / 15-30 / 30-60 / 60-90 / &gt;90 min</t>
  </si>
  <si>
    <t xml:space="preserve">Q: About how long does it take you to get to campus (one way)? Relevant to Onsite meetings.</t>
  </si>
  <si>
    <t xml:space="preserve">F. Preferences (asked once per respondent)</t>
  </si>
  <si>
    <t xml:space="preserve">pref_day_{day}</t>
  </si>
  <si>
    <t xml:space="preserve">binary</t>
  </si>
  <si>
    <t xml:space="preserve">0 / 1</t>
  </si>
  <si>
    <t xml:space="preserve">Q: Which days do you prefer for meetings? (select all)</t>
  </si>
  <si>
    <t xml:space="preserve">avoid_day_{day}</t>
  </si>
  <si>
    <t xml:space="preserve">Q: Which days do you want to avoid? (select all). Validation: a day cannot be both preferred and avoided.</t>
  </si>
  <si>
    <t xml:space="preserve">pref_time_{bin}</t>
  </si>
  <si>
    <t xml:space="preserve">Q: Which times of day do you prefer? Bins: 08-10, 10-12, 12-14, 14-16, 16-18 (select all).</t>
  </si>
  <si>
    <t xml:space="preserve">avoid_time_{bin}</t>
  </si>
  <si>
    <t xml:space="preserve">Q: Which times of day do you want to avoid? Same bins (select all).</t>
  </si>
  <si>
    <t xml:space="preserve">chronotype</t>
  </si>
  <si>
    <t xml:space="preserve">Morning / Afternoon / Evening / No clear pattern</t>
  </si>
  <si>
    <t xml:space="preserve">Q: When are you usually most alert and productive? (Optional upgrade: the 5-item reduced Morningness-Eveningness Questionnaire.)</t>
  </si>
  <si>
    <t xml:space="preserve">pref_break_min</t>
  </si>
  <si>
    <t xml:space="preserve">0 / 60 / 120+</t>
  </si>
  <si>
    <t xml:space="preserve">Q: When a class is right before or after a meeting, what is the smallest break you are comfortable with? (Hourly grid, so 30 min is not offered yet.)</t>
  </si>
  <si>
    <t xml:space="preserve">pref_modality</t>
  </si>
  <si>
    <t xml:space="preserve">Online / Onsite / No preference</t>
  </si>
  <si>
    <t xml:space="preserve">Q: For meetings, which do you generally prefer?</t>
  </si>
  <si>
    <t xml:space="preserve">pref_meeting_length</t>
  </si>
  <si>
    <t xml:space="preserve">60 / 120 / No preference</t>
  </si>
  <si>
    <t xml:space="preserve">Q: What meeting length do you generally prefer (minutes)?</t>
  </si>
  <si>
    <t xml:space="preserve">tolerate_back_to_back</t>
  </si>
  <si>
    <t xml:space="preserve">Preference feature (suggested)</t>
  </si>
  <si>
    <t xml:space="preserve">1-5 (Likert)</t>
  </si>
  <si>
    <t xml:space="preserve">Q: I am fine with a meeting immediately before or after a class. (1 = strongly disagree, 5 = strongly agree)</t>
  </si>
  <si>
    <t xml:space="preserve">protect_lunch</t>
  </si>
  <si>
    <t xml:space="preserve">Q: Do you want to keep 12:00-13:00 free of meetings?</t>
  </si>
  <si>
    <t xml:space="preserve">pref_day_style</t>
  </si>
  <si>
    <t xml:space="preserve">Compact / Spread / No preference</t>
  </si>
  <si>
    <t xml:space="preserve">Q: Would you rather add a meeting to a day that is already busy (Compact) or keep a lighter day free (Spread)?</t>
  </si>
  <si>
    <t xml:space="preserve">G. Targets (collected per scenario)</t>
  </si>
  <si>
    <t xml:space="preserve">target_day</t>
  </si>
  <si>
    <t xml:space="preserve">Mon / Tue / Wed / Thu / Fri</t>
  </si>
  <si>
    <t xml:space="preserve">Q: Pick the best day for this meeting. UI only allows days and times where the meeting fits in free blocks.</t>
  </si>
  <si>
    <t xml:space="preserve">target_start_time</t>
  </si>
  <si>
    <t xml:space="preserve">categorical (HH:MM)</t>
  </si>
  <si>
    <t xml:space="preserve">08:00-17:00 (must fit the meeting length)</t>
  </si>
  <si>
    <t xml:space="preserve">Q: Pick the best start time for this meeting.</t>
  </si>
  <si>
    <t xml:space="preserve">target_slot_id</t>
  </si>
  <si>
    <t xml:space="preserve">e.g., TUE_1400</t>
  </si>
  <si>
    <t xml:space="preserve">target_day + target_start_time; the single class label if modelled as one 50-class target.</t>
  </si>
  <si>
    <t xml:space="preserve">target_end_time</t>
  </si>
  <si>
    <t xml:space="preserve">string (HH:MM)</t>
  </si>
  <si>
    <t xml:space="preserve">09:00-18:00</t>
  </si>
  <si>
    <t xml:space="preserve">target_start_time + meeting_length_min.</t>
  </si>
  <si>
    <t xml:space="preserve">H. Extra labels (top-k and quality)</t>
  </si>
  <si>
    <t xml:space="preserve">alt2_day / alt2_start_time / alt3_day / alt3_start_time</t>
  </si>
  <si>
    <t xml:space="preserve">same as target</t>
  </si>
  <si>
    <t xml:space="preserve">Q: Which would be your 2nd and 3rd best options? Supports the top-k human labels in the plan and ranking models.</t>
  </si>
  <si>
    <t xml:space="preserve">choice_confidence</t>
  </si>
  <si>
    <t xml:space="preserve">Q: How confident are you in your choice? Can be used as a sample weight. Not a model feature.</t>
  </si>
  <si>
    <t xml:space="preserve">choice_reason</t>
  </si>
  <si>
    <t xml:space="preserve">multi-select text</t>
  </si>
  <si>
    <t xml:space="preserve">Preferred time / Enough break / Keeps day light / Near my classes / Avoids lunch / Other</t>
  </si>
  <si>
    <t xml:space="preserve">Q: Why did you choose it? For validating features only. Not a model feature (it would leak the answer).</t>
  </si>
  <si>
    <t xml:space="preserve">I. Quality control &amp; metadata</t>
  </si>
  <si>
    <t xml:space="preserve">is_repeat_scenario</t>
  </si>
  <si>
    <t xml:space="preserve">1 = a scenario repeated later in the survey to measure label consistency (test-retest).</t>
  </si>
  <si>
    <t xml:space="preserve">attention_check_pass</t>
  </si>
  <si>
    <t xml:space="preserve">Pass/fail on an embedded attention-check scenario.</t>
  </si>
  <si>
    <t xml:space="preserve">completion_time_sec</t>
  </si>
  <si>
    <t xml:space="preserve">seconds</t>
  </si>
  <si>
    <t xml:space="preserve">Time spent on the scenario (flags rushed answers).</t>
  </si>
  <si>
    <t xml:space="preserve">submitted_at</t>
  </si>
  <si>
    <t xml:space="preserve">datetime</t>
  </si>
  <si>
    <t xml:space="preserve">ISO 8601</t>
  </si>
  <si>
    <t xml:space="preserve">Timestamp of submission.</t>
  </si>
  <si>
    <t xml:space="preserve">consent_given</t>
  </si>
  <si>
    <t xml:space="preserve">Informed consent recorded before any data is stored.</t>
  </si>
  <si>
    <t xml:space="preserve">One illustrative row, shown transposed (column name -&gt; value). Values are made up for illustration.</t>
  </si>
  <si>
    <t xml:space="preserve">Example value</t>
  </si>
  <si>
    <t xml:space="preserve">RESP-0042-03</t>
  </si>
  <si>
    <t xml:space="preserve">R042</t>
  </si>
  <si>
    <t xml:space="preserve">SC017</t>
  </si>
  <si>
    <t xml:space="preserve">9f3a1c...</t>
  </si>
  <si>
    <t xml:space="preserve">Medium</t>
  </si>
  <si>
    <t xml:space="preserve">Onsite</t>
  </si>
  <si>
    <t xml:space="preserve">Org meeting</t>
  </si>
  <si>
    <t xml:space="preserve">sched_mon_0800</t>
  </si>
  <si>
    <t xml:space="preserve">ON</t>
  </si>
  <si>
    <t xml:space="preserve">sched_mon_0900</t>
  </si>
  <si>
    <t xml:space="preserve">sched_mon_1000</t>
  </si>
  <si>
    <t xml:space="preserve">F</t>
  </si>
  <si>
    <t xml:space="preserve">sched_mon_1100</t>
  </si>
  <si>
    <t xml:space="preserve">sched_mon_1200</t>
  </si>
  <si>
    <t xml:space="preserve">sched_mon_1300</t>
  </si>
  <si>
    <t xml:space="preserve">sched_mon_1400</t>
  </si>
  <si>
    <t xml:space="preserve">sched_mon_1500</t>
  </si>
  <si>
    <t xml:space="preserve">sched_mon_1600</t>
  </si>
  <si>
    <t xml:space="preserve">sched_mon_1700</t>
  </si>
  <si>
    <t xml:space="preserve">sched_tue_0800</t>
  </si>
  <si>
    <t xml:space="preserve">sched_tue_0900</t>
  </si>
  <si>
    <t xml:space="preserve">sched_tue_1000</t>
  </si>
  <si>
    <t xml:space="preserve">sched_tue_1100</t>
  </si>
  <si>
    <t xml:space="preserve">sched_tue_1200</t>
  </si>
  <si>
    <t xml:space="preserve">sched_tue_1300</t>
  </si>
  <si>
    <t xml:space="preserve">sched_tue_1400</t>
  </si>
  <si>
    <t xml:space="preserve">sched_tue_1500</t>
  </si>
  <si>
    <t xml:space="preserve">sched_tue_1600</t>
  </si>
  <si>
    <t xml:space="preserve">sched_tue_1700</t>
  </si>
  <si>
    <t xml:space="preserve">sched_wed_0800</t>
  </si>
  <si>
    <t xml:space="preserve">sched_wed_0900</t>
  </si>
  <si>
    <t xml:space="preserve">sched_wed_1000</t>
  </si>
  <si>
    <t xml:space="preserve">sched_wed_1100</t>
  </si>
  <si>
    <t xml:space="preserve">sched_wed_1200</t>
  </si>
  <si>
    <t xml:space="preserve">sched_wed_1300</t>
  </si>
  <si>
    <t xml:space="preserve">sched_wed_1400</t>
  </si>
  <si>
    <t xml:space="preserve">sched_wed_1500</t>
  </si>
  <si>
    <t xml:space="preserve">sched_wed_1600</t>
  </si>
  <si>
    <t xml:space="preserve">sched_wed_1700</t>
  </si>
  <si>
    <t xml:space="preserve">sched_thu_0800</t>
  </si>
  <si>
    <t xml:space="preserve">sched_thu_0900</t>
  </si>
  <si>
    <t xml:space="preserve">sched_thu_1000</t>
  </si>
  <si>
    <t xml:space="preserve">sched_thu_1100</t>
  </si>
  <si>
    <t xml:space="preserve">OL</t>
  </si>
  <si>
    <t xml:space="preserve">sched_thu_1200</t>
  </si>
  <si>
    <t xml:space="preserve">sched_thu_1300</t>
  </si>
  <si>
    <t xml:space="preserve">sched_thu_1400</t>
  </si>
  <si>
    <t xml:space="preserve">sched_thu_1500</t>
  </si>
  <si>
    <t xml:space="preserve">sched_thu_1600</t>
  </si>
  <si>
    <t xml:space="preserve">sched_thu_1700</t>
  </si>
  <si>
    <t xml:space="preserve">sched_fri_0800</t>
  </si>
  <si>
    <t xml:space="preserve">sched_fri_0900</t>
  </si>
  <si>
    <t xml:space="preserve">sched_fri_1000</t>
  </si>
  <si>
    <t xml:space="preserve">sched_fri_1100</t>
  </si>
  <si>
    <t xml:space="preserve">sched_fri_1200</t>
  </si>
  <si>
    <t xml:space="preserve">sched_fri_1300</t>
  </si>
  <si>
    <t xml:space="preserve">sched_fri_1400</t>
  </si>
  <si>
    <t xml:space="preserve">sched_fri_1500</t>
  </si>
  <si>
    <t xml:space="preserve">sched_fri_1600</t>
  </si>
  <si>
    <t xml:space="preserve">sched_fri_1700</t>
  </si>
  <si>
    <t xml:space="preserve">class_hours_mon</t>
  </si>
  <si>
    <t xml:space="preserve">class_hours_tue</t>
  </si>
  <si>
    <t xml:space="preserve">class_hours_wed</t>
  </si>
  <si>
    <t xml:space="preserve">class_hours_thu</t>
  </si>
  <si>
    <t xml:space="preserve">class_hours_fri</t>
  </si>
  <si>
    <t xml:space="preserve">Student org officer</t>
  </si>
  <si>
    <t xml:space="preserve">2nd</t>
  </si>
  <si>
    <t xml:space="preserve">30-60</t>
  </si>
  <si>
    <t xml:space="preserve">pref_day_mon</t>
  </si>
  <si>
    <t xml:space="preserve">pref_day_tue</t>
  </si>
  <si>
    <t xml:space="preserve">pref_day_wed</t>
  </si>
  <si>
    <t xml:space="preserve">pref_day_thu</t>
  </si>
  <si>
    <t xml:space="preserve">pref_day_fri</t>
  </si>
  <si>
    <t xml:space="preserve">avoid_day_mon</t>
  </si>
  <si>
    <t xml:space="preserve">avoid_day_tue</t>
  </si>
  <si>
    <t xml:space="preserve">avoid_day_wed</t>
  </si>
  <si>
    <t xml:space="preserve">avoid_day_thu</t>
  </si>
  <si>
    <t xml:space="preserve">avoid_day_fri</t>
  </si>
  <si>
    <t xml:space="preserve">pref_time_0810</t>
  </si>
  <si>
    <t xml:space="preserve">pref_time_1012</t>
  </si>
  <si>
    <t xml:space="preserve">pref_time_1214</t>
  </si>
  <si>
    <t xml:space="preserve">pref_time_1416</t>
  </si>
  <si>
    <t xml:space="preserve">pref_time_1618</t>
  </si>
  <si>
    <t xml:space="preserve">avoid_time_0810</t>
  </si>
  <si>
    <t xml:space="preserve">avoid_time_1012</t>
  </si>
  <si>
    <t xml:space="preserve">avoid_time_1214</t>
  </si>
  <si>
    <t xml:space="preserve">avoid_time_1416</t>
  </si>
  <si>
    <t xml:space="preserve">avoid_time_1618</t>
  </si>
  <si>
    <t xml:space="preserve">Afternoon</t>
  </si>
  <si>
    <t xml:space="preserve">Compact</t>
  </si>
  <si>
    <t xml:space="preserve">Tue</t>
  </si>
  <si>
    <t xml:space="preserve">14:00</t>
  </si>
  <si>
    <t xml:space="preserve">TUE_1400</t>
  </si>
  <si>
    <t xml:space="preserve">16:00</t>
  </si>
  <si>
    <t xml:space="preserve">alt2_day</t>
  </si>
  <si>
    <t xml:space="preserve">Thu</t>
  </si>
  <si>
    <t xml:space="preserve">alt2_start_time</t>
  </si>
  <si>
    <t xml:space="preserve">alt3_day</t>
  </si>
  <si>
    <t xml:space="preserve">Wed</t>
  </si>
  <si>
    <t xml:space="preserve">alt3_start_time</t>
  </si>
  <si>
    <t xml:space="preserve">15:00</t>
  </si>
  <si>
    <t xml:space="preserve">Preferred time; Enough break</t>
  </si>
  <si>
    <t xml:space="preserve">2026-11-03T14:22:10</t>
  </si>
  <si>
    <t xml:space="preserve">Issues found in the Secondary Dataset (affect how scenarios are built)</t>
  </si>
  <si>
    <t xml:space="preserve">Sheet</t>
  </si>
  <si>
    <t xml:space="preserve">Finding</t>
  </si>
  <si>
    <t xml:space="preserve">Impact</t>
  </si>
  <si>
    <t xml:space="preserve">Proposed handling</t>
  </si>
  <si>
    <t xml:space="preserve">44 of 100 rows have end_time at or before start_time; only 25 rows are 1-3 hour blocks; blocks reach 11 hours.</t>
  </si>
  <si>
    <t xml:space="preserve">Block lengths cannot be trusted.</t>
  </si>
  <si>
    <t xml:space="preserve">Keep day and start hour only; set length from credits or a 1-3 hour rule.</t>
  </si>
  <si>
    <t xml:space="preserve">Hourly slots exist only for 08:00-11:00 and 13:00-16:00 (30 slots), so 11:00-13:00 and 16:00+ are never occupied.</t>
  </si>
  <si>
    <t xml:space="preserve">A model would learn that those times are always free.</t>
  </si>
  <si>
    <t xml:space="preserve">Generate some classes in 11-13 and 16-18 for the scenarios, using the 08:00-18:00 start range from rdb_timeslots.</t>
  </si>
  <si>
    <t xml:space="preserve">Times are written in 12-hour form without AM/PM (e.g., 1:00 - 2:00).</t>
  </si>
  <si>
    <t xml:space="preserve">Easy to misread as morning.</t>
  </si>
  <si>
    <t xml:space="preserve">Convert to 24-hour time.</t>
  </si>
  <si>
    <t xml:space="preserve">About 12% of timetable groups (Program/Year/Section/Major) have two or more courses in the same slot; most groups have only 1-2 rows.</t>
  </si>
  <si>
    <t xml:space="preserve">Not usable as individual schedules.</t>
  </si>
  <si>
    <t xml:space="preserve">Use it only to validate the slot grid.</t>
  </si>
  <si>
    <t xml:space="preserve">3,000 students with 1-5 classes each (mean about 3.0).</t>
  </si>
  <si>
    <t xml:space="preserve">Weeks are very empty, so many slots would tie as the best answer.</t>
  </si>
  <si>
    <t xml:space="preserve">Create Light / Medium / Heavy tiers and combine sampled blocks; require at least 4 feasible slots.</t>
  </si>
  <si>
    <t xml:space="preserve">118 rows repeat the same student and timeslot.</t>
  </si>
  <si>
    <t xml:space="preserve">Double-booked students.</t>
  </si>
  <si>
    <t xml:space="preserve">Remove duplicates before building scenarios.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</si>
</sst>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6B3C"/>
        <bgColor rgb="FF008080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A6B3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10" customFormat="false" ht="15" hidden="false" customHeight="false" outlineLevel="0" collapsed="false">
      <c r="A10" s="4" t="s">
        <v>13</v>
      </c>
      <c r="B10" s="4" t="s">
        <v>14</v>
      </c>
    </row>
    <row r="11" customFormat="false" ht="15" hidden="false" customHeight="false" outlineLevel="0" collapsed="false">
      <c r="A11" s="5" t="s">
        <v>15</v>
      </c>
      <c r="B11" s="6" t="n">
        <f aca="false">SUMIFS('Data Dictionary'!$D$5:$D$48,'Data Dictionary'!$E$5:$E$48,A11)</f>
        <v>56</v>
      </c>
    </row>
    <row r="12" customFormat="false" ht="15" hidden="false" customHeight="false" outlineLevel="0" collapsed="false">
      <c r="A12" s="7" t="s">
        <v>16</v>
      </c>
      <c r="B12" s="6" t="n">
        <f aca="false">SUMIFS('Data Dictionary'!$D$5:$D$48,'Data Dictionary'!$E$5:$E$48,A12)</f>
        <v>38</v>
      </c>
    </row>
    <row r="13" customFormat="false" ht="15" hidden="false" customHeight="false" outlineLevel="0" collapsed="false">
      <c r="A13" s="8" t="s">
        <v>17</v>
      </c>
      <c r="B13" s="6" t="n">
        <f aca="false">SUMIFS('Data Dictionary'!$D$5:$D$48,'Data Dictionary'!$E$5:$E$48,A13)</f>
        <v>14</v>
      </c>
    </row>
    <row r="14" customFormat="false" ht="15" hidden="false" customHeight="false" outlineLevel="0" collapsed="false">
      <c r="A14" s="9" t="s">
        <v>18</v>
      </c>
      <c r="B14" s="6" t="n">
        <f aca="false">SUMIFS('Data Dictionary'!$D$5:$D$48,'Data Dictionary'!$E$5:$E$48,A14)</f>
        <v>8</v>
      </c>
    </row>
    <row r="15" customFormat="false" ht="15" hidden="false" customHeight="false" outlineLevel="0" collapsed="false">
      <c r="A15" s="10" t="s">
        <v>19</v>
      </c>
      <c r="B15" s="10" t="n">
        <f aca="false">SUM(B11:B14)</f>
        <v>116</v>
      </c>
    </row>
    <row r="17" customFormat="false" ht="15" hidden="false" customHeight="false" outlineLevel="0" collapsed="false">
      <c r="A17" s="4" t="s">
        <v>20</v>
      </c>
      <c r="B17" s="4" t="s">
        <v>14</v>
      </c>
    </row>
    <row r="18" customFormat="false" ht="15" hidden="false" customHeight="false" outlineLevel="0" collapsed="false">
      <c r="A18" s="6" t="s">
        <v>21</v>
      </c>
      <c r="B18" s="6" t="n">
        <f aca="false">SUMIFS('Data Dictionary'!$D$5:$D$48,'Data Dictionary'!$F$5:$F$48,A18)+SUMIFS('Data Dictionary'!$D$5:$D$48,'Data Dictionary'!$F$5:$F$48,A18&amp;" (suggested)")</f>
        <v>62</v>
      </c>
    </row>
    <row r="19" customFormat="false" ht="15" hidden="false" customHeight="false" outlineLevel="0" collapsed="false">
      <c r="A19" s="6" t="s">
        <v>22</v>
      </c>
      <c r="B19" s="6" t="n">
        <f aca="false">SUMIFS('Data Dictionary'!$D$5:$D$48,'Data Dictionary'!$F$5:$F$48,A19)+SUMIFS('Data Dictionary'!$D$5:$D$48,'Data Dictionary'!$F$5:$F$48,A19&amp;" (suggested)")</f>
        <v>4</v>
      </c>
    </row>
    <row r="20" customFormat="false" ht="15" hidden="false" customHeight="false" outlineLevel="0" collapsed="false">
      <c r="A20" s="6" t="s">
        <v>23</v>
      </c>
      <c r="B20" s="6" t="n">
        <f aca="false">SUMIFS('Data Dictionary'!$D$5:$D$48,'Data Dictionary'!$F$5:$F$48,A20)+SUMIFS('Data Dictionary'!$D$5:$D$48,'Data Dictionary'!$F$5:$F$48,A20&amp;" (suggested)")</f>
        <v>3</v>
      </c>
    </row>
    <row r="21" customFormat="false" ht="15" hidden="false" customHeight="false" outlineLevel="0" collapsed="false">
      <c r="A21" s="6" t="s">
        <v>24</v>
      </c>
      <c r="B21" s="6" t="n">
        <f aca="false">SUMIFS('Data Dictionary'!$D$5:$D$48,'Data Dictionary'!$F$5:$F$48,A21)+SUMIFS('Data Dictionary'!$D$5:$D$48,'Data Dictionary'!$F$5:$F$48,A21&amp;" (suggested)")</f>
        <v>27</v>
      </c>
    </row>
    <row r="22" customFormat="false" ht="15" hidden="false" customHeight="false" outlineLevel="0" collapsed="false">
      <c r="A22" s="6" t="s">
        <v>25</v>
      </c>
      <c r="B22" s="6" t="n">
        <f aca="false">SUMIFS('Data Dictionary'!$D$5:$D$48,'Data Dictionary'!$F$5:$F$48,A22)+SUMIFS('Data Dictionary'!$D$5:$D$48,'Data Dictionary'!$F$5:$F$48,A22&amp;" (suggested)")</f>
        <v>3</v>
      </c>
    </row>
    <row r="23" customFormat="false" ht="15" hidden="false" customHeight="false" outlineLevel="0" collapsed="false">
      <c r="A23" s="6" t="s">
        <v>26</v>
      </c>
      <c r="B23" s="6" t="n">
        <f aca="false">SUMIFS('Data Dictionary'!$D$5:$D$48,'Data Dictionary'!$F$5:$F$48,A23)+SUMIFS('Data Dictionary'!$D$5:$D$48,'Data Dictionary'!$F$5:$F$48,A23&amp;" (suggested)")</f>
        <v>6</v>
      </c>
    </row>
    <row r="24" customFormat="false" ht="15" hidden="false" customHeight="false" outlineLevel="0" collapsed="false">
      <c r="A24" s="6" t="s">
        <v>27</v>
      </c>
      <c r="B24" s="6" t="n">
        <f aca="false">SUMIFS('Data Dictionary'!$D$5:$D$48,'Data Dictionary'!$F$5:$F$48,A24)+SUMIFS('Data Dictionary'!$D$5:$D$48,'Data Dictionary'!$F$5:$F$48,A24&amp;" (suggested)")</f>
        <v>3</v>
      </c>
    </row>
    <row r="25" customFormat="false" ht="15" hidden="false" customHeight="false" outlineLevel="0" collapsed="false">
      <c r="A25" s="6" t="s">
        <v>28</v>
      </c>
      <c r="B25" s="6" t="n">
        <f aca="false">SUMIFS('Data Dictionary'!$D$5:$D$48,'Data Dictionary'!$F$5:$F$48,A25)+SUMIFS('Data Dictionary'!$D$5:$D$48,'Data Dictionary'!$F$5:$F$48,A25&amp;" (suggested)")</f>
        <v>8</v>
      </c>
    </row>
    <row r="26" customFormat="false" ht="15" hidden="false" customHeight="false" outlineLevel="0" collapsed="false">
      <c r="A26" s="11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4" min="4" style="0" width="90"/>
  </cols>
  <sheetData>
    <row r="1" customFormat="false" ht="16.15" hidden="false" customHeight="false" outlineLevel="0" collapsed="false">
      <c r="A1" s="12" t="s">
        <v>30</v>
      </c>
    </row>
    <row r="3" customFormat="false" ht="15" hidden="false" customHeight="false" outlineLevel="0" collapsed="false">
      <c r="A3" s="4" t="s">
        <v>31</v>
      </c>
      <c r="B3" s="4" t="s">
        <v>32</v>
      </c>
      <c r="C3" s="4" t="s">
        <v>33</v>
      </c>
      <c r="D3" s="4" t="s">
        <v>34</v>
      </c>
    </row>
    <row r="4" customFormat="false" ht="15" hidden="false" customHeight="false" outlineLevel="0" collapsed="false">
      <c r="A4" s="13" t="s">
        <v>35</v>
      </c>
      <c r="B4" s="13" t="s">
        <v>36</v>
      </c>
      <c r="C4" s="13" t="s">
        <v>37</v>
      </c>
      <c r="D4" s="13" t="s">
        <v>38</v>
      </c>
    </row>
    <row r="5" customFormat="false" ht="15" hidden="false" customHeight="false" outlineLevel="0" collapsed="false">
      <c r="A5" s="13" t="s">
        <v>35</v>
      </c>
      <c r="B5" s="13" t="s">
        <v>39</v>
      </c>
      <c r="C5" s="13" t="s">
        <v>40</v>
      </c>
      <c r="D5" s="13" t="s">
        <v>41</v>
      </c>
    </row>
    <row r="6" customFormat="false" ht="23.85" hidden="false" customHeight="false" outlineLevel="0" collapsed="false">
      <c r="A6" s="13" t="s">
        <v>35</v>
      </c>
      <c r="B6" s="13" t="s">
        <v>42</v>
      </c>
      <c r="C6" s="13" t="s">
        <v>43</v>
      </c>
      <c r="D6" s="13" t="s">
        <v>44</v>
      </c>
    </row>
    <row r="7" customFormat="false" ht="15" hidden="false" customHeight="false" outlineLevel="0" collapsed="false">
      <c r="A7" s="13" t="s">
        <v>45</v>
      </c>
      <c r="B7" s="13" t="s">
        <v>46</v>
      </c>
      <c r="C7" s="13" t="s">
        <v>47</v>
      </c>
      <c r="D7" s="13" t="s">
        <v>48</v>
      </c>
    </row>
    <row r="8" customFormat="false" ht="15" hidden="false" customHeight="false" outlineLevel="0" collapsed="false">
      <c r="A8" s="13" t="s">
        <v>45</v>
      </c>
      <c r="B8" s="13" t="s">
        <v>49</v>
      </c>
      <c r="C8" s="13" t="s">
        <v>37</v>
      </c>
      <c r="D8" s="13" t="s">
        <v>50</v>
      </c>
    </row>
    <row r="9" customFormat="false" ht="15" hidden="false" customHeight="false" outlineLevel="0" collapsed="false">
      <c r="A9" s="13" t="s">
        <v>45</v>
      </c>
      <c r="B9" s="13" t="s">
        <v>51</v>
      </c>
      <c r="C9" s="13" t="s">
        <v>52</v>
      </c>
      <c r="D9" s="13" t="s">
        <v>53</v>
      </c>
    </row>
    <row r="10" customFormat="false" ht="15" hidden="false" customHeight="false" outlineLevel="0" collapsed="false">
      <c r="A10" s="13" t="s">
        <v>54</v>
      </c>
      <c r="B10" s="13" t="s">
        <v>55</v>
      </c>
      <c r="C10" s="13" t="s">
        <v>52</v>
      </c>
      <c r="D10" s="13" t="s">
        <v>56</v>
      </c>
    </row>
    <row r="11" customFormat="false" ht="23.85" hidden="false" customHeight="false" outlineLevel="0" collapsed="false">
      <c r="A11" s="13" t="s">
        <v>57</v>
      </c>
      <c r="B11" s="13" t="s">
        <v>58</v>
      </c>
      <c r="C11" s="13" t="s">
        <v>52</v>
      </c>
      <c r="D11" s="13" t="s">
        <v>59</v>
      </c>
    </row>
    <row r="12" customFormat="false" ht="15" hidden="false" customHeight="false" outlineLevel="0" collapsed="false">
      <c r="A12" s="13" t="s">
        <v>60</v>
      </c>
      <c r="B12" s="13" t="s">
        <v>61</v>
      </c>
      <c r="C12" s="13" t="s">
        <v>62</v>
      </c>
      <c r="D12" s="13" t="s">
        <v>63</v>
      </c>
    </row>
    <row r="13" customFormat="false" ht="15" hidden="false" customHeight="false" outlineLevel="0" collapsed="false">
      <c r="A13" s="13" t="s">
        <v>60</v>
      </c>
      <c r="B13" s="13" t="s">
        <v>64</v>
      </c>
      <c r="C13" s="13" t="s">
        <v>65</v>
      </c>
      <c r="D13" s="13" t="s">
        <v>66</v>
      </c>
    </row>
    <row r="14" customFormat="false" ht="15" hidden="false" customHeight="false" outlineLevel="0" collapsed="false">
      <c r="A14" s="13" t="s">
        <v>54</v>
      </c>
      <c r="B14" s="13" t="s">
        <v>67</v>
      </c>
      <c r="C14" s="13" t="s">
        <v>65</v>
      </c>
      <c r="D14" s="13" t="s">
        <v>68</v>
      </c>
    </row>
    <row r="15" customFormat="false" ht="15" hidden="false" customHeight="false" outlineLevel="0" collapsed="false">
      <c r="A15" s="13" t="s">
        <v>69</v>
      </c>
      <c r="B15" s="13" t="s">
        <v>70</v>
      </c>
      <c r="C15" s="13" t="s">
        <v>65</v>
      </c>
      <c r="D15" s="13" t="s">
        <v>71</v>
      </c>
    </row>
    <row r="16" customFormat="false" ht="23.85" hidden="false" customHeight="false" outlineLevel="0" collapsed="false">
      <c r="A16" s="13" t="s">
        <v>72</v>
      </c>
      <c r="B16" s="13" t="s">
        <v>73</v>
      </c>
      <c r="C16" s="13" t="s">
        <v>65</v>
      </c>
      <c r="D16" s="13" t="s">
        <v>74</v>
      </c>
    </row>
    <row r="17" customFormat="false" ht="15" hidden="false" customHeight="false" outlineLevel="0" collapsed="false">
      <c r="A17" s="13" t="s">
        <v>72</v>
      </c>
      <c r="B17" s="13" t="s">
        <v>75</v>
      </c>
      <c r="C17" s="13" t="s">
        <v>65</v>
      </c>
      <c r="D17" s="13" t="s">
        <v>76</v>
      </c>
    </row>
    <row r="18" customFormat="false" ht="15" hidden="false" customHeight="false" outlineLevel="0" collapsed="false">
      <c r="A18" s="13" t="s">
        <v>77</v>
      </c>
      <c r="B18" s="13" t="s">
        <v>78</v>
      </c>
      <c r="C18" s="13" t="s">
        <v>79</v>
      </c>
      <c r="D18" s="13" t="s">
        <v>80</v>
      </c>
    </row>
    <row r="19" customFormat="false" ht="23.85" hidden="false" customHeight="false" outlineLevel="0" collapsed="false">
      <c r="A19" s="13" t="s">
        <v>77</v>
      </c>
      <c r="B19" s="13" t="s">
        <v>81</v>
      </c>
      <c r="C19" s="13" t="s">
        <v>65</v>
      </c>
      <c r="D19" s="13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70"/>
  </cols>
  <sheetData>
    <row r="1" customFormat="false" ht="16.15" hidden="false" customHeight="false" outlineLevel="0" collapsed="false">
      <c r="A1" s="12" t="s">
        <v>83</v>
      </c>
    </row>
    <row r="2" customFormat="false" ht="30" hidden="false" customHeight="true" outlineLevel="0" collapsed="false">
      <c r="A2" s="14" t="s">
        <v>84</v>
      </c>
      <c r="B2" s="14"/>
      <c r="C2" s="14"/>
      <c r="D2" s="14"/>
      <c r="E2" s="14"/>
      <c r="F2" s="14"/>
      <c r="G2" s="14"/>
      <c r="H2" s="14"/>
      <c r="I2" s="14"/>
    </row>
    <row r="4" customFormat="false" ht="35.05" hidden="false" customHeight="false" outlineLevel="0" collapsed="false">
      <c r="A4" s="4" t="s">
        <v>85</v>
      </c>
      <c r="B4" s="4" t="s">
        <v>86</v>
      </c>
      <c r="C4" s="4" t="s">
        <v>87</v>
      </c>
      <c r="D4" s="4" t="s">
        <v>14</v>
      </c>
      <c r="E4" s="4" t="s">
        <v>88</v>
      </c>
      <c r="F4" s="4" t="s">
        <v>89</v>
      </c>
      <c r="G4" s="4" t="s">
        <v>90</v>
      </c>
      <c r="H4" s="4" t="s">
        <v>91</v>
      </c>
      <c r="I4" s="4" t="s">
        <v>92</v>
      </c>
    </row>
    <row r="5" customFormat="false" ht="15" hidden="false" customHeight="false" outlineLevel="0" collapsed="false">
      <c r="A5" s="13" t="n">
        <v>1</v>
      </c>
      <c r="B5" s="13" t="s">
        <v>93</v>
      </c>
      <c r="C5" s="13" t="s">
        <v>94</v>
      </c>
      <c r="D5" s="13" t="n">
        <v>1</v>
      </c>
      <c r="E5" s="15" t="s">
        <v>18</v>
      </c>
      <c r="F5" s="13" t="s">
        <v>27</v>
      </c>
      <c r="G5" s="13" t="s">
        <v>95</v>
      </c>
      <c r="H5" s="13" t="s">
        <v>96</v>
      </c>
      <c r="I5" s="13" t="s">
        <v>97</v>
      </c>
    </row>
    <row r="6" customFormat="false" ht="15" hidden="false" customHeight="false" outlineLevel="0" collapsed="false">
      <c r="A6" s="13" t="n">
        <v>2</v>
      </c>
      <c r="B6" s="13" t="s">
        <v>93</v>
      </c>
      <c r="C6" s="13" t="s">
        <v>98</v>
      </c>
      <c r="D6" s="13" t="n">
        <v>1</v>
      </c>
      <c r="E6" s="15" t="s">
        <v>18</v>
      </c>
      <c r="F6" s="13" t="s">
        <v>27</v>
      </c>
      <c r="G6" s="13" t="s">
        <v>95</v>
      </c>
      <c r="H6" s="13" t="s">
        <v>99</v>
      </c>
      <c r="I6" s="13" t="s">
        <v>100</v>
      </c>
    </row>
    <row r="7" customFormat="false" ht="15" hidden="false" customHeight="false" outlineLevel="0" collapsed="false">
      <c r="A7" s="13" t="n">
        <v>3</v>
      </c>
      <c r="B7" s="13" t="s">
        <v>93</v>
      </c>
      <c r="C7" s="13" t="s">
        <v>101</v>
      </c>
      <c r="D7" s="13" t="n">
        <v>1</v>
      </c>
      <c r="E7" s="16" t="s">
        <v>15</v>
      </c>
      <c r="F7" s="13" t="s">
        <v>27</v>
      </c>
      <c r="G7" s="13" t="s">
        <v>95</v>
      </c>
      <c r="H7" s="13" t="s">
        <v>102</v>
      </c>
      <c r="I7" s="13" t="s">
        <v>103</v>
      </c>
    </row>
    <row r="8" customFormat="false" ht="15" hidden="false" customHeight="false" outlineLevel="0" collapsed="false">
      <c r="A8" s="13" t="n">
        <v>4</v>
      </c>
      <c r="B8" s="13" t="s">
        <v>93</v>
      </c>
      <c r="C8" s="13" t="s">
        <v>104</v>
      </c>
      <c r="D8" s="13" t="n">
        <v>1</v>
      </c>
      <c r="E8" s="15" t="s">
        <v>18</v>
      </c>
      <c r="F8" s="13" t="s">
        <v>28</v>
      </c>
      <c r="G8" s="13" t="s">
        <v>105</v>
      </c>
      <c r="H8" s="13" t="s">
        <v>106</v>
      </c>
      <c r="I8" s="13" t="s">
        <v>107</v>
      </c>
    </row>
    <row r="9" customFormat="false" ht="23.85" hidden="false" customHeight="false" outlineLevel="0" collapsed="false">
      <c r="A9" s="13" t="n">
        <v>5</v>
      </c>
      <c r="B9" s="13" t="s">
        <v>93</v>
      </c>
      <c r="C9" s="13" t="s">
        <v>108</v>
      </c>
      <c r="D9" s="13" t="n">
        <v>1</v>
      </c>
      <c r="E9" s="16" t="s">
        <v>15</v>
      </c>
      <c r="F9" s="13" t="s">
        <v>28</v>
      </c>
      <c r="G9" s="13" t="s">
        <v>95</v>
      </c>
      <c r="H9" s="13" t="s">
        <v>109</v>
      </c>
      <c r="I9" s="13" t="s">
        <v>110</v>
      </c>
    </row>
    <row r="10" customFormat="false" ht="15" hidden="false" customHeight="false" outlineLevel="0" collapsed="false">
      <c r="A10" s="13" t="n">
        <v>6</v>
      </c>
      <c r="B10" s="13" t="s">
        <v>93</v>
      </c>
      <c r="C10" s="13" t="s">
        <v>111</v>
      </c>
      <c r="D10" s="13" t="n">
        <v>1</v>
      </c>
      <c r="E10" s="16" t="s">
        <v>15</v>
      </c>
      <c r="F10" s="13" t="s">
        <v>22</v>
      </c>
      <c r="G10" s="13" t="s">
        <v>112</v>
      </c>
      <c r="H10" s="13" t="s">
        <v>113</v>
      </c>
      <c r="I10" s="13" t="s">
        <v>114</v>
      </c>
    </row>
    <row r="11" customFormat="false" ht="23.85" hidden="false" customHeight="false" outlineLevel="0" collapsed="false">
      <c r="A11" s="13" t="n">
        <v>7</v>
      </c>
      <c r="B11" s="13" t="s">
        <v>115</v>
      </c>
      <c r="C11" s="13" t="s">
        <v>116</v>
      </c>
      <c r="D11" s="13" t="n">
        <v>1</v>
      </c>
      <c r="E11" s="16" t="s">
        <v>15</v>
      </c>
      <c r="F11" s="13" t="s">
        <v>22</v>
      </c>
      <c r="G11" s="13" t="s">
        <v>105</v>
      </c>
      <c r="H11" s="13" t="s">
        <v>117</v>
      </c>
      <c r="I11" s="13" t="s">
        <v>118</v>
      </c>
    </row>
    <row r="12" customFormat="false" ht="23.85" hidden="false" customHeight="false" outlineLevel="0" collapsed="false">
      <c r="A12" s="13" t="n">
        <v>8</v>
      </c>
      <c r="B12" s="13" t="s">
        <v>115</v>
      </c>
      <c r="C12" s="13" t="s">
        <v>119</v>
      </c>
      <c r="D12" s="13" t="n">
        <v>1</v>
      </c>
      <c r="E12" s="16" t="s">
        <v>15</v>
      </c>
      <c r="F12" s="13" t="s">
        <v>22</v>
      </c>
      <c r="G12" s="13" t="s">
        <v>112</v>
      </c>
      <c r="H12" s="13" t="s">
        <v>120</v>
      </c>
      <c r="I12" s="13" t="s">
        <v>121</v>
      </c>
    </row>
    <row r="13" customFormat="false" ht="23.85" hidden="false" customHeight="false" outlineLevel="0" collapsed="false">
      <c r="A13" s="13" t="n">
        <v>9</v>
      </c>
      <c r="B13" s="13" t="s">
        <v>115</v>
      </c>
      <c r="C13" s="13" t="s">
        <v>122</v>
      </c>
      <c r="D13" s="13" t="n">
        <v>1</v>
      </c>
      <c r="E13" s="16" t="s">
        <v>15</v>
      </c>
      <c r="F13" s="13" t="s">
        <v>22</v>
      </c>
      <c r="G13" s="13" t="s">
        <v>112</v>
      </c>
      <c r="H13" s="13" t="s">
        <v>123</v>
      </c>
      <c r="I13" s="13" t="s">
        <v>124</v>
      </c>
    </row>
    <row r="14" customFormat="false" ht="23.85" hidden="false" customHeight="false" outlineLevel="0" collapsed="false">
      <c r="A14" s="13" t="n">
        <v>10</v>
      </c>
      <c r="B14" s="13" t="s">
        <v>125</v>
      </c>
      <c r="C14" s="13" t="s">
        <v>126</v>
      </c>
      <c r="D14" s="13" t="n">
        <v>50</v>
      </c>
      <c r="E14" s="16" t="s">
        <v>15</v>
      </c>
      <c r="F14" s="13" t="s">
        <v>21</v>
      </c>
      <c r="G14" s="13" t="s">
        <v>112</v>
      </c>
      <c r="H14" s="13" t="s">
        <v>127</v>
      </c>
      <c r="I14" s="13" t="s">
        <v>128</v>
      </c>
    </row>
    <row r="15" customFormat="false" ht="15" hidden="false" customHeight="false" outlineLevel="0" collapsed="false">
      <c r="A15" s="13" t="n">
        <v>11</v>
      </c>
      <c r="B15" s="13" t="s">
        <v>129</v>
      </c>
      <c r="C15" s="13" t="s">
        <v>130</v>
      </c>
      <c r="D15" s="13" t="n">
        <v>1</v>
      </c>
      <c r="E15" s="17" t="s">
        <v>17</v>
      </c>
      <c r="F15" s="13" t="s">
        <v>21</v>
      </c>
      <c r="G15" s="13" t="s">
        <v>105</v>
      </c>
      <c r="H15" s="13" t="s">
        <v>131</v>
      </c>
      <c r="I15" s="13" t="s">
        <v>132</v>
      </c>
    </row>
    <row r="16" customFormat="false" ht="15" hidden="false" customHeight="false" outlineLevel="0" collapsed="false">
      <c r="A16" s="13" t="n">
        <v>12</v>
      </c>
      <c r="B16" s="13" t="s">
        <v>129</v>
      </c>
      <c r="C16" s="13" t="s">
        <v>133</v>
      </c>
      <c r="D16" s="13" t="n">
        <v>5</v>
      </c>
      <c r="E16" s="17" t="s">
        <v>17</v>
      </c>
      <c r="F16" s="13" t="s">
        <v>21</v>
      </c>
      <c r="G16" s="13" t="s">
        <v>105</v>
      </c>
      <c r="H16" s="13" t="s">
        <v>134</v>
      </c>
      <c r="I16" s="13" t="s">
        <v>135</v>
      </c>
    </row>
    <row r="17" customFormat="false" ht="15" hidden="false" customHeight="false" outlineLevel="0" collapsed="false">
      <c r="A17" s="13" t="n">
        <v>13</v>
      </c>
      <c r="B17" s="13" t="s">
        <v>129</v>
      </c>
      <c r="C17" s="13" t="s">
        <v>136</v>
      </c>
      <c r="D17" s="13" t="n">
        <v>1</v>
      </c>
      <c r="E17" s="17" t="s">
        <v>17</v>
      </c>
      <c r="F17" s="13" t="s">
        <v>21</v>
      </c>
      <c r="G17" s="13" t="s">
        <v>105</v>
      </c>
      <c r="H17" s="13" t="s">
        <v>137</v>
      </c>
      <c r="I17" s="13" t="s">
        <v>138</v>
      </c>
    </row>
    <row r="18" customFormat="false" ht="15" hidden="false" customHeight="false" outlineLevel="0" collapsed="false">
      <c r="A18" s="13" t="n">
        <v>14</v>
      </c>
      <c r="B18" s="13" t="s">
        <v>129</v>
      </c>
      <c r="C18" s="13" t="s">
        <v>139</v>
      </c>
      <c r="D18" s="13" t="n">
        <v>1</v>
      </c>
      <c r="E18" s="17" t="s">
        <v>17</v>
      </c>
      <c r="F18" s="13" t="s">
        <v>21</v>
      </c>
      <c r="G18" s="13" t="s">
        <v>140</v>
      </c>
      <c r="H18" s="13" t="s">
        <v>141</v>
      </c>
      <c r="I18" s="13" t="s">
        <v>142</v>
      </c>
    </row>
    <row r="19" customFormat="false" ht="15" hidden="false" customHeight="false" outlineLevel="0" collapsed="false">
      <c r="A19" s="13" t="n">
        <v>15</v>
      </c>
      <c r="B19" s="13" t="s">
        <v>129</v>
      </c>
      <c r="C19" s="13" t="s">
        <v>143</v>
      </c>
      <c r="D19" s="13" t="n">
        <v>1</v>
      </c>
      <c r="E19" s="17" t="s">
        <v>17</v>
      </c>
      <c r="F19" s="13" t="s">
        <v>21</v>
      </c>
      <c r="G19" s="13" t="s">
        <v>140</v>
      </c>
      <c r="H19" s="13" t="s">
        <v>144</v>
      </c>
      <c r="I19" s="13" t="s">
        <v>145</v>
      </c>
    </row>
    <row r="20" customFormat="false" ht="15" hidden="false" customHeight="false" outlineLevel="0" collapsed="false">
      <c r="A20" s="13" t="n">
        <v>16</v>
      </c>
      <c r="B20" s="13" t="s">
        <v>129</v>
      </c>
      <c r="C20" s="13" t="s">
        <v>146</v>
      </c>
      <c r="D20" s="13" t="n">
        <v>1</v>
      </c>
      <c r="E20" s="17" t="s">
        <v>17</v>
      </c>
      <c r="F20" s="13" t="s">
        <v>21</v>
      </c>
      <c r="G20" s="13" t="s">
        <v>105</v>
      </c>
      <c r="H20" s="13" t="s">
        <v>134</v>
      </c>
      <c r="I20" s="13" t="s">
        <v>147</v>
      </c>
    </row>
    <row r="21" customFormat="false" ht="15" hidden="false" customHeight="false" outlineLevel="0" collapsed="false">
      <c r="A21" s="13" t="n">
        <v>17</v>
      </c>
      <c r="B21" s="13" t="s">
        <v>129</v>
      </c>
      <c r="C21" s="13" t="s">
        <v>148</v>
      </c>
      <c r="D21" s="13" t="n">
        <v>1</v>
      </c>
      <c r="E21" s="17" t="s">
        <v>17</v>
      </c>
      <c r="F21" s="13" t="s">
        <v>21</v>
      </c>
      <c r="G21" s="13" t="s">
        <v>105</v>
      </c>
      <c r="H21" s="13" t="s">
        <v>149</v>
      </c>
      <c r="I21" s="13" t="s">
        <v>150</v>
      </c>
    </row>
    <row r="22" customFormat="false" ht="23.85" hidden="false" customHeight="false" outlineLevel="0" collapsed="false">
      <c r="A22" s="13" t="n">
        <v>18</v>
      </c>
      <c r="B22" s="13" t="s">
        <v>129</v>
      </c>
      <c r="C22" s="13" t="s">
        <v>151</v>
      </c>
      <c r="D22" s="13" t="n">
        <v>1</v>
      </c>
      <c r="E22" s="17" t="s">
        <v>17</v>
      </c>
      <c r="F22" s="13" t="s">
        <v>21</v>
      </c>
      <c r="G22" s="13" t="s">
        <v>105</v>
      </c>
      <c r="H22" s="13" t="s">
        <v>152</v>
      </c>
      <c r="I22" s="13" t="s">
        <v>153</v>
      </c>
    </row>
    <row r="23" customFormat="false" ht="23.85" hidden="false" customHeight="false" outlineLevel="0" collapsed="false">
      <c r="A23" s="13" t="n">
        <v>19</v>
      </c>
      <c r="B23" s="13" t="s">
        <v>154</v>
      </c>
      <c r="C23" s="13" t="s">
        <v>155</v>
      </c>
      <c r="D23" s="13" t="n">
        <v>1</v>
      </c>
      <c r="E23" s="18" t="s">
        <v>16</v>
      </c>
      <c r="F23" s="13" t="s">
        <v>23</v>
      </c>
      <c r="G23" s="13" t="s">
        <v>112</v>
      </c>
      <c r="H23" s="13" t="s">
        <v>156</v>
      </c>
      <c r="I23" s="13" t="s">
        <v>157</v>
      </c>
    </row>
    <row r="24" customFormat="false" ht="15" hidden="false" customHeight="false" outlineLevel="0" collapsed="false">
      <c r="A24" s="13" t="n">
        <v>20</v>
      </c>
      <c r="B24" s="13" t="s">
        <v>154</v>
      </c>
      <c r="C24" s="13" t="s">
        <v>158</v>
      </c>
      <c r="D24" s="13" t="n">
        <v>1</v>
      </c>
      <c r="E24" s="18" t="s">
        <v>16</v>
      </c>
      <c r="F24" s="13" t="s">
        <v>23</v>
      </c>
      <c r="G24" s="13" t="s">
        <v>112</v>
      </c>
      <c r="H24" s="13" t="s">
        <v>159</v>
      </c>
      <c r="I24" s="13" t="s">
        <v>160</v>
      </c>
    </row>
    <row r="25" customFormat="false" ht="23.85" hidden="false" customHeight="false" outlineLevel="0" collapsed="false">
      <c r="A25" s="13" t="n">
        <v>21</v>
      </c>
      <c r="B25" s="13" t="s">
        <v>154</v>
      </c>
      <c r="C25" s="13" t="s">
        <v>161</v>
      </c>
      <c r="D25" s="13" t="n">
        <v>1</v>
      </c>
      <c r="E25" s="18" t="s">
        <v>16</v>
      </c>
      <c r="F25" s="13" t="s">
        <v>23</v>
      </c>
      <c r="G25" s="13" t="s">
        <v>162</v>
      </c>
      <c r="H25" s="13" t="s">
        <v>163</v>
      </c>
      <c r="I25" s="13" t="s">
        <v>164</v>
      </c>
    </row>
    <row r="26" customFormat="false" ht="23.85" hidden="false" customHeight="false" outlineLevel="0" collapsed="false">
      <c r="A26" s="13" t="n">
        <v>22</v>
      </c>
      <c r="B26" s="13" t="s">
        <v>165</v>
      </c>
      <c r="C26" s="13" t="s">
        <v>166</v>
      </c>
      <c r="D26" s="13" t="n">
        <v>5</v>
      </c>
      <c r="E26" s="18" t="s">
        <v>16</v>
      </c>
      <c r="F26" s="13" t="s">
        <v>24</v>
      </c>
      <c r="G26" s="13" t="s">
        <v>167</v>
      </c>
      <c r="H26" s="13" t="s">
        <v>168</v>
      </c>
      <c r="I26" s="13" t="s">
        <v>169</v>
      </c>
    </row>
    <row r="27" customFormat="false" ht="23.85" hidden="false" customHeight="false" outlineLevel="0" collapsed="false">
      <c r="A27" s="13" t="n">
        <v>23</v>
      </c>
      <c r="B27" s="13" t="s">
        <v>165</v>
      </c>
      <c r="C27" s="13" t="s">
        <v>170</v>
      </c>
      <c r="D27" s="13" t="n">
        <v>5</v>
      </c>
      <c r="E27" s="18" t="s">
        <v>16</v>
      </c>
      <c r="F27" s="13" t="s">
        <v>24</v>
      </c>
      <c r="G27" s="13" t="s">
        <v>167</v>
      </c>
      <c r="H27" s="13" t="s">
        <v>168</v>
      </c>
      <c r="I27" s="13" t="s">
        <v>171</v>
      </c>
    </row>
    <row r="28" customFormat="false" ht="23.85" hidden="false" customHeight="false" outlineLevel="0" collapsed="false">
      <c r="A28" s="13" t="n">
        <v>24</v>
      </c>
      <c r="B28" s="13" t="s">
        <v>165</v>
      </c>
      <c r="C28" s="13" t="s">
        <v>172</v>
      </c>
      <c r="D28" s="13" t="n">
        <v>5</v>
      </c>
      <c r="E28" s="18" t="s">
        <v>16</v>
      </c>
      <c r="F28" s="13" t="s">
        <v>24</v>
      </c>
      <c r="G28" s="13" t="s">
        <v>167</v>
      </c>
      <c r="H28" s="13" t="s">
        <v>168</v>
      </c>
      <c r="I28" s="13" t="s">
        <v>173</v>
      </c>
    </row>
    <row r="29" customFormat="false" ht="23.85" hidden="false" customHeight="false" outlineLevel="0" collapsed="false">
      <c r="A29" s="13" t="n">
        <v>25</v>
      </c>
      <c r="B29" s="13" t="s">
        <v>165</v>
      </c>
      <c r="C29" s="13" t="s">
        <v>174</v>
      </c>
      <c r="D29" s="13" t="n">
        <v>5</v>
      </c>
      <c r="E29" s="18" t="s">
        <v>16</v>
      </c>
      <c r="F29" s="13" t="s">
        <v>24</v>
      </c>
      <c r="G29" s="13" t="s">
        <v>167</v>
      </c>
      <c r="H29" s="13" t="s">
        <v>168</v>
      </c>
      <c r="I29" s="13" t="s">
        <v>175</v>
      </c>
    </row>
    <row r="30" customFormat="false" ht="23.85" hidden="false" customHeight="false" outlineLevel="0" collapsed="false">
      <c r="A30" s="13" t="n">
        <v>26</v>
      </c>
      <c r="B30" s="13" t="s">
        <v>165</v>
      </c>
      <c r="C30" s="13" t="s">
        <v>176</v>
      </c>
      <c r="D30" s="13" t="n">
        <v>1</v>
      </c>
      <c r="E30" s="18" t="s">
        <v>16</v>
      </c>
      <c r="F30" s="13" t="s">
        <v>24</v>
      </c>
      <c r="G30" s="13" t="s">
        <v>112</v>
      </c>
      <c r="H30" s="13" t="s">
        <v>177</v>
      </c>
      <c r="I30" s="13" t="s">
        <v>178</v>
      </c>
    </row>
    <row r="31" customFormat="false" ht="23.85" hidden="false" customHeight="false" outlineLevel="0" collapsed="false">
      <c r="A31" s="13" t="n">
        <v>27</v>
      </c>
      <c r="B31" s="13" t="s">
        <v>165</v>
      </c>
      <c r="C31" s="13" t="s">
        <v>179</v>
      </c>
      <c r="D31" s="13" t="n">
        <v>1</v>
      </c>
      <c r="E31" s="18" t="s">
        <v>16</v>
      </c>
      <c r="F31" s="13" t="s">
        <v>24</v>
      </c>
      <c r="G31" s="13" t="s">
        <v>162</v>
      </c>
      <c r="H31" s="13" t="s">
        <v>180</v>
      </c>
      <c r="I31" s="13" t="s">
        <v>181</v>
      </c>
    </row>
    <row r="32" customFormat="false" ht="23.85" hidden="false" customHeight="false" outlineLevel="0" collapsed="false">
      <c r="A32" s="13" t="n">
        <v>28</v>
      </c>
      <c r="B32" s="13" t="s">
        <v>165</v>
      </c>
      <c r="C32" s="13" t="s">
        <v>182</v>
      </c>
      <c r="D32" s="13" t="n">
        <v>1</v>
      </c>
      <c r="E32" s="18" t="s">
        <v>16</v>
      </c>
      <c r="F32" s="13" t="s">
        <v>24</v>
      </c>
      <c r="G32" s="13" t="s">
        <v>112</v>
      </c>
      <c r="H32" s="13" t="s">
        <v>183</v>
      </c>
      <c r="I32" s="13" t="s">
        <v>184</v>
      </c>
    </row>
    <row r="33" customFormat="false" ht="23.85" hidden="false" customHeight="false" outlineLevel="0" collapsed="false">
      <c r="A33" s="13" t="n">
        <v>29</v>
      </c>
      <c r="B33" s="13" t="s">
        <v>165</v>
      </c>
      <c r="C33" s="13" t="s">
        <v>185</v>
      </c>
      <c r="D33" s="13" t="n">
        <v>1</v>
      </c>
      <c r="E33" s="18" t="s">
        <v>16</v>
      </c>
      <c r="F33" s="13" t="s">
        <v>24</v>
      </c>
      <c r="G33" s="13" t="s">
        <v>112</v>
      </c>
      <c r="H33" s="13" t="s">
        <v>186</v>
      </c>
      <c r="I33" s="13" t="s">
        <v>187</v>
      </c>
    </row>
    <row r="34" customFormat="false" ht="23.85" hidden="false" customHeight="false" outlineLevel="0" collapsed="false">
      <c r="A34" s="13" t="n">
        <v>30</v>
      </c>
      <c r="B34" s="13" t="s">
        <v>165</v>
      </c>
      <c r="C34" s="13" t="s">
        <v>188</v>
      </c>
      <c r="D34" s="13" t="n">
        <v>1</v>
      </c>
      <c r="E34" s="18" t="s">
        <v>16</v>
      </c>
      <c r="F34" s="13" t="s">
        <v>189</v>
      </c>
      <c r="G34" s="13" t="s">
        <v>162</v>
      </c>
      <c r="H34" s="13" t="s">
        <v>190</v>
      </c>
      <c r="I34" s="13" t="s">
        <v>191</v>
      </c>
    </row>
    <row r="35" customFormat="false" ht="23.85" hidden="false" customHeight="false" outlineLevel="0" collapsed="false">
      <c r="A35" s="13" t="n">
        <v>31</v>
      </c>
      <c r="B35" s="13" t="s">
        <v>165</v>
      </c>
      <c r="C35" s="13" t="s">
        <v>192</v>
      </c>
      <c r="D35" s="13" t="n">
        <v>1</v>
      </c>
      <c r="E35" s="18" t="s">
        <v>16</v>
      </c>
      <c r="F35" s="13" t="s">
        <v>189</v>
      </c>
      <c r="G35" s="13" t="s">
        <v>167</v>
      </c>
      <c r="H35" s="13" t="s">
        <v>168</v>
      </c>
      <c r="I35" s="13" t="s">
        <v>193</v>
      </c>
    </row>
    <row r="36" customFormat="false" ht="23.85" hidden="false" customHeight="false" outlineLevel="0" collapsed="false">
      <c r="A36" s="13" t="n">
        <v>32</v>
      </c>
      <c r="B36" s="13" t="s">
        <v>165</v>
      </c>
      <c r="C36" s="13" t="s">
        <v>194</v>
      </c>
      <c r="D36" s="13" t="n">
        <v>1</v>
      </c>
      <c r="E36" s="18" t="s">
        <v>16</v>
      </c>
      <c r="F36" s="13" t="s">
        <v>189</v>
      </c>
      <c r="G36" s="13" t="s">
        <v>112</v>
      </c>
      <c r="H36" s="13" t="s">
        <v>195</v>
      </c>
      <c r="I36" s="13" t="s">
        <v>196</v>
      </c>
    </row>
    <row r="37" customFormat="false" ht="23.85" hidden="false" customHeight="false" outlineLevel="0" collapsed="false">
      <c r="A37" s="13" t="n">
        <v>33</v>
      </c>
      <c r="B37" s="13" t="s">
        <v>197</v>
      </c>
      <c r="C37" s="13" t="s">
        <v>198</v>
      </c>
      <c r="D37" s="13" t="n">
        <v>1</v>
      </c>
      <c r="E37" s="18" t="s">
        <v>16</v>
      </c>
      <c r="F37" s="13" t="s">
        <v>25</v>
      </c>
      <c r="G37" s="13" t="s">
        <v>112</v>
      </c>
      <c r="H37" s="13" t="s">
        <v>199</v>
      </c>
      <c r="I37" s="13" t="s">
        <v>200</v>
      </c>
    </row>
    <row r="38" customFormat="false" ht="23.85" hidden="false" customHeight="false" outlineLevel="0" collapsed="false">
      <c r="A38" s="13" t="n">
        <v>34</v>
      </c>
      <c r="B38" s="13" t="s">
        <v>197</v>
      </c>
      <c r="C38" s="13" t="s">
        <v>201</v>
      </c>
      <c r="D38" s="13" t="n">
        <v>1</v>
      </c>
      <c r="E38" s="18" t="s">
        <v>16</v>
      </c>
      <c r="F38" s="13" t="s">
        <v>25</v>
      </c>
      <c r="G38" s="13" t="s">
        <v>202</v>
      </c>
      <c r="H38" s="13" t="s">
        <v>203</v>
      </c>
      <c r="I38" s="13" t="s">
        <v>204</v>
      </c>
    </row>
    <row r="39" customFormat="false" ht="23.85" hidden="false" customHeight="false" outlineLevel="0" collapsed="false">
      <c r="A39" s="13" t="n">
        <v>35</v>
      </c>
      <c r="B39" s="13" t="s">
        <v>197</v>
      </c>
      <c r="C39" s="13" t="s">
        <v>205</v>
      </c>
      <c r="D39" s="13" t="n">
        <v>1</v>
      </c>
      <c r="E39" s="17" t="s">
        <v>17</v>
      </c>
      <c r="F39" s="13" t="s">
        <v>25</v>
      </c>
      <c r="G39" s="13" t="s">
        <v>95</v>
      </c>
      <c r="H39" s="13" t="s">
        <v>206</v>
      </c>
      <c r="I39" s="13" t="s">
        <v>207</v>
      </c>
    </row>
    <row r="40" customFormat="false" ht="15" hidden="false" customHeight="false" outlineLevel="0" collapsed="false">
      <c r="A40" s="13" t="n">
        <v>36</v>
      </c>
      <c r="B40" s="13" t="s">
        <v>197</v>
      </c>
      <c r="C40" s="13" t="s">
        <v>208</v>
      </c>
      <c r="D40" s="13" t="n">
        <v>1</v>
      </c>
      <c r="E40" s="17" t="s">
        <v>17</v>
      </c>
      <c r="F40" s="13" t="s">
        <v>28</v>
      </c>
      <c r="G40" s="13" t="s">
        <v>209</v>
      </c>
      <c r="H40" s="13" t="s">
        <v>210</v>
      </c>
      <c r="I40" s="13" t="s">
        <v>211</v>
      </c>
    </row>
    <row r="41" customFormat="false" ht="23.85" hidden="false" customHeight="false" outlineLevel="0" collapsed="false">
      <c r="A41" s="13" t="n">
        <v>37</v>
      </c>
      <c r="B41" s="13" t="s">
        <v>212</v>
      </c>
      <c r="C41" s="13" t="s">
        <v>213</v>
      </c>
      <c r="D41" s="13" t="n">
        <v>4</v>
      </c>
      <c r="E41" s="18" t="s">
        <v>16</v>
      </c>
      <c r="F41" s="13" t="s">
        <v>26</v>
      </c>
      <c r="G41" s="13" t="s">
        <v>112</v>
      </c>
      <c r="H41" s="13" t="s">
        <v>214</v>
      </c>
      <c r="I41" s="13" t="s">
        <v>215</v>
      </c>
    </row>
    <row r="42" customFormat="false" ht="23.85" hidden="false" customHeight="false" outlineLevel="0" collapsed="false">
      <c r="A42" s="13" t="n">
        <v>38</v>
      </c>
      <c r="B42" s="13" t="s">
        <v>212</v>
      </c>
      <c r="C42" s="13" t="s">
        <v>216</v>
      </c>
      <c r="D42" s="13" t="n">
        <v>1</v>
      </c>
      <c r="E42" s="18" t="s">
        <v>16</v>
      </c>
      <c r="F42" s="13" t="s">
        <v>26</v>
      </c>
      <c r="G42" s="13" t="s">
        <v>162</v>
      </c>
      <c r="H42" s="13" t="s">
        <v>190</v>
      </c>
      <c r="I42" s="13" t="s">
        <v>217</v>
      </c>
    </row>
    <row r="43" customFormat="false" ht="35.05" hidden="false" customHeight="false" outlineLevel="0" collapsed="false">
      <c r="A43" s="13" t="n">
        <v>39</v>
      </c>
      <c r="B43" s="13" t="s">
        <v>212</v>
      </c>
      <c r="C43" s="13" t="s">
        <v>218</v>
      </c>
      <c r="D43" s="13" t="n">
        <v>1</v>
      </c>
      <c r="E43" s="18" t="s">
        <v>16</v>
      </c>
      <c r="F43" s="13" t="s">
        <v>26</v>
      </c>
      <c r="G43" s="13" t="s">
        <v>219</v>
      </c>
      <c r="H43" s="13" t="s">
        <v>220</v>
      </c>
      <c r="I43" s="13" t="s">
        <v>221</v>
      </c>
    </row>
    <row r="44" customFormat="false" ht="15" hidden="false" customHeight="false" outlineLevel="0" collapsed="false">
      <c r="A44" s="13" t="n">
        <v>40</v>
      </c>
      <c r="B44" s="13" t="s">
        <v>222</v>
      </c>
      <c r="C44" s="13" t="s">
        <v>223</v>
      </c>
      <c r="D44" s="13" t="n">
        <v>1</v>
      </c>
      <c r="E44" s="15" t="s">
        <v>18</v>
      </c>
      <c r="F44" s="13" t="s">
        <v>28</v>
      </c>
      <c r="G44" s="13" t="s">
        <v>167</v>
      </c>
      <c r="H44" s="13" t="s">
        <v>168</v>
      </c>
      <c r="I44" s="13" t="s">
        <v>224</v>
      </c>
    </row>
    <row r="45" customFormat="false" ht="15" hidden="false" customHeight="false" outlineLevel="0" collapsed="false">
      <c r="A45" s="13" t="n">
        <v>41</v>
      </c>
      <c r="B45" s="13" t="s">
        <v>222</v>
      </c>
      <c r="C45" s="13" t="s">
        <v>225</v>
      </c>
      <c r="D45" s="13" t="n">
        <v>1</v>
      </c>
      <c r="E45" s="15" t="s">
        <v>18</v>
      </c>
      <c r="F45" s="13" t="s">
        <v>28</v>
      </c>
      <c r="G45" s="13" t="s">
        <v>167</v>
      </c>
      <c r="H45" s="13" t="s">
        <v>168</v>
      </c>
      <c r="I45" s="13" t="s">
        <v>226</v>
      </c>
    </row>
    <row r="46" customFormat="false" ht="15" hidden="false" customHeight="false" outlineLevel="0" collapsed="false">
      <c r="A46" s="13" t="n">
        <v>42</v>
      </c>
      <c r="B46" s="13" t="s">
        <v>222</v>
      </c>
      <c r="C46" s="13" t="s">
        <v>227</v>
      </c>
      <c r="D46" s="13" t="n">
        <v>1</v>
      </c>
      <c r="E46" s="15" t="s">
        <v>18</v>
      </c>
      <c r="F46" s="13" t="s">
        <v>28</v>
      </c>
      <c r="G46" s="13" t="s">
        <v>105</v>
      </c>
      <c r="H46" s="13" t="s">
        <v>228</v>
      </c>
      <c r="I46" s="13" t="s">
        <v>229</v>
      </c>
    </row>
    <row r="47" customFormat="false" ht="15" hidden="false" customHeight="false" outlineLevel="0" collapsed="false">
      <c r="A47" s="13" t="n">
        <v>43</v>
      </c>
      <c r="B47" s="13" t="s">
        <v>222</v>
      </c>
      <c r="C47" s="13" t="s">
        <v>230</v>
      </c>
      <c r="D47" s="13" t="n">
        <v>1</v>
      </c>
      <c r="E47" s="15" t="s">
        <v>18</v>
      </c>
      <c r="F47" s="13" t="s">
        <v>28</v>
      </c>
      <c r="G47" s="13" t="s">
        <v>231</v>
      </c>
      <c r="H47" s="13" t="s">
        <v>232</v>
      </c>
      <c r="I47" s="13" t="s">
        <v>233</v>
      </c>
    </row>
    <row r="48" customFormat="false" ht="15" hidden="false" customHeight="false" outlineLevel="0" collapsed="false">
      <c r="A48" s="13" t="n">
        <v>44</v>
      </c>
      <c r="B48" s="13" t="s">
        <v>222</v>
      </c>
      <c r="C48" s="13" t="s">
        <v>234</v>
      </c>
      <c r="D48" s="13" t="n">
        <v>1</v>
      </c>
      <c r="E48" s="15" t="s">
        <v>18</v>
      </c>
      <c r="F48" s="13" t="s">
        <v>28</v>
      </c>
      <c r="G48" s="13" t="s">
        <v>167</v>
      </c>
      <c r="H48" s="13" t="s">
        <v>168</v>
      </c>
      <c r="I48" s="13" t="s">
        <v>235</v>
      </c>
    </row>
  </sheetData>
  <autoFilter ref="A4:I48"/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36"/>
  </cols>
  <sheetData>
    <row r="1" customFormat="false" ht="15" hidden="false" customHeight="false" outlineLevel="0" collapsed="false">
      <c r="A1" s="11" t="s">
        <v>236</v>
      </c>
    </row>
    <row r="3" customFormat="false" ht="15" hidden="false" customHeight="false" outlineLevel="0" collapsed="false">
      <c r="A3" s="4" t="s">
        <v>32</v>
      </c>
      <c r="B3" s="4" t="s">
        <v>88</v>
      </c>
      <c r="C3" s="4" t="s">
        <v>237</v>
      </c>
    </row>
    <row r="4" customFormat="false" ht="15" hidden="false" customHeight="false" outlineLevel="0" collapsed="false">
      <c r="A4" s="13" t="s">
        <v>94</v>
      </c>
      <c r="B4" s="15" t="s">
        <v>18</v>
      </c>
      <c r="C4" s="13" t="s">
        <v>238</v>
      </c>
    </row>
    <row r="5" customFormat="false" ht="15" hidden="false" customHeight="false" outlineLevel="0" collapsed="false">
      <c r="A5" s="13" t="s">
        <v>98</v>
      </c>
      <c r="B5" s="15" t="s">
        <v>18</v>
      </c>
      <c r="C5" s="13" t="s">
        <v>239</v>
      </c>
    </row>
    <row r="6" customFormat="false" ht="15" hidden="false" customHeight="false" outlineLevel="0" collapsed="false">
      <c r="A6" s="13" t="s">
        <v>101</v>
      </c>
      <c r="B6" s="16" t="s">
        <v>15</v>
      </c>
      <c r="C6" s="13" t="s">
        <v>240</v>
      </c>
    </row>
    <row r="7" customFormat="false" ht="15" hidden="false" customHeight="false" outlineLevel="0" collapsed="false">
      <c r="A7" s="13" t="s">
        <v>104</v>
      </c>
      <c r="B7" s="15" t="s">
        <v>18</v>
      </c>
      <c r="C7" s="13" t="n">
        <v>3</v>
      </c>
    </row>
    <row r="8" customFormat="false" ht="15" hidden="false" customHeight="false" outlineLevel="0" collapsed="false">
      <c r="A8" s="13" t="s">
        <v>108</v>
      </c>
      <c r="B8" s="16" t="s">
        <v>15</v>
      </c>
      <c r="C8" s="13" t="s">
        <v>241</v>
      </c>
    </row>
    <row r="9" customFormat="false" ht="15" hidden="false" customHeight="false" outlineLevel="0" collapsed="false">
      <c r="A9" s="13" t="s">
        <v>111</v>
      </c>
      <c r="B9" s="16" t="s">
        <v>15</v>
      </c>
      <c r="C9" s="13" t="s">
        <v>242</v>
      </c>
    </row>
    <row r="10" customFormat="false" ht="15" hidden="false" customHeight="false" outlineLevel="0" collapsed="false">
      <c r="A10" s="13" t="s">
        <v>116</v>
      </c>
      <c r="B10" s="16" t="s">
        <v>15</v>
      </c>
      <c r="C10" s="13" t="n">
        <v>120</v>
      </c>
    </row>
    <row r="11" customFormat="false" ht="15" hidden="false" customHeight="false" outlineLevel="0" collapsed="false">
      <c r="A11" s="13" t="s">
        <v>119</v>
      </c>
      <c r="B11" s="16" t="s">
        <v>15</v>
      </c>
      <c r="C11" s="13" t="s">
        <v>243</v>
      </c>
    </row>
    <row r="12" customFormat="false" ht="15" hidden="false" customHeight="false" outlineLevel="0" collapsed="false">
      <c r="A12" s="13" t="s">
        <v>122</v>
      </c>
      <c r="B12" s="16" t="s">
        <v>15</v>
      </c>
      <c r="C12" s="13" t="s">
        <v>244</v>
      </c>
    </row>
    <row r="13" customFormat="false" ht="15" hidden="false" customHeight="false" outlineLevel="0" collapsed="false">
      <c r="A13" s="13" t="s">
        <v>245</v>
      </c>
      <c r="B13" s="16" t="s">
        <v>15</v>
      </c>
      <c r="C13" s="13" t="s">
        <v>246</v>
      </c>
    </row>
    <row r="14" customFormat="false" ht="15" hidden="false" customHeight="false" outlineLevel="0" collapsed="false">
      <c r="A14" s="13" t="s">
        <v>247</v>
      </c>
      <c r="B14" s="16" t="s">
        <v>15</v>
      </c>
      <c r="C14" s="13" t="s">
        <v>246</v>
      </c>
    </row>
    <row r="15" customFormat="false" ht="15" hidden="false" customHeight="false" outlineLevel="0" collapsed="false">
      <c r="A15" s="13" t="s">
        <v>248</v>
      </c>
      <c r="B15" s="16" t="s">
        <v>15</v>
      </c>
      <c r="C15" s="13" t="s">
        <v>249</v>
      </c>
    </row>
    <row r="16" customFormat="false" ht="15" hidden="false" customHeight="false" outlineLevel="0" collapsed="false">
      <c r="A16" s="13" t="s">
        <v>250</v>
      </c>
      <c r="B16" s="16" t="s">
        <v>15</v>
      </c>
      <c r="C16" s="13" t="s">
        <v>249</v>
      </c>
    </row>
    <row r="17" customFormat="false" ht="15" hidden="false" customHeight="false" outlineLevel="0" collapsed="false">
      <c r="A17" s="13" t="s">
        <v>251</v>
      </c>
      <c r="B17" s="16" t="s">
        <v>15</v>
      </c>
      <c r="C17" s="13" t="s">
        <v>249</v>
      </c>
    </row>
    <row r="18" customFormat="false" ht="15" hidden="false" customHeight="false" outlineLevel="0" collapsed="false">
      <c r="A18" s="13" t="s">
        <v>252</v>
      </c>
      <c r="B18" s="16" t="s">
        <v>15</v>
      </c>
      <c r="C18" s="13" t="s">
        <v>246</v>
      </c>
    </row>
    <row r="19" customFormat="false" ht="15" hidden="false" customHeight="false" outlineLevel="0" collapsed="false">
      <c r="A19" s="13" t="s">
        <v>253</v>
      </c>
      <c r="B19" s="16" t="s">
        <v>15</v>
      </c>
      <c r="C19" s="13" t="s">
        <v>249</v>
      </c>
    </row>
    <row r="20" customFormat="false" ht="15" hidden="false" customHeight="false" outlineLevel="0" collapsed="false">
      <c r="A20" s="13" t="s">
        <v>254</v>
      </c>
      <c r="B20" s="16" t="s">
        <v>15</v>
      </c>
      <c r="C20" s="13" t="s">
        <v>249</v>
      </c>
    </row>
    <row r="21" customFormat="false" ht="15" hidden="false" customHeight="false" outlineLevel="0" collapsed="false">
      <c r="A21" s="13" t="s">
        <v>255</v>
      </c>
      <c r="B21" s="16" t="s">
        <v>15</v>
      </c>
      <c r="C21" s="13" t="s">
        <v>249</v>
      </c>
    </row>
    <row r="22" customFormat="false" ht="15" hidden="false" customHeight="false" outlineLevel="0" collapsed="false">
      <c r="A22" s="13" t="s">
        <v>256</v>
      </c>
      <c r="B22" s="16" t="s">
        <v>15</v>
      </c>
      <c r="C22" s="13" t="s">
        <v>249</v>
      </c>
    </row>
    <row r="23" customFormat="false" ht="15" hidden="false" customHeight="false" outlineLevel="0" collapsed="false">
      <c r="A23" s="13" t="s">
        <v>257</v>
      </c>
      <c r="B23" s="16" t="s">
        <v>15</v>
      </c>
      <c r="C23" s="13" t="s">
        <v>249</v>
      </c>
    </row>
    <row r="24" customFormat="false" ht="15" hidden="false" customHeight="false" outlineLevel="0" collapsed="false">
      <c r="A24" s="13" t="s">
        <v>258</v>
      </c>
      <c r="B24" s="16" t="s">
        <v>15</v>
      </c>
      <c r="C24" s="13" t="s">
        <v>249</v>
      </c>
    </row>
    <row r="25" customFormat="false" ht="15" hidden="false" customHeight="false" outlineLevel="0" collapsed="false">
      <c r="A25" s="13" t="s">
        <v>259</v>
      </c>
      <c r="B25" s="16" t="s">
        <v>15</v>
      </c>
      <c r="C25" s="13" t="s">
        <v>246</v>
      </c>
    </row>
    <row r="26" customFormat="false" ht="15" hidden="false" customHeight="false" outlineLevel="0" collapsed="false">
      <c r="A26" s="13" t="s">
        <v>260</v>
      </c>
      <c r="B26" s="16" t="s">
        <v>15</v>
      </c>
      <c r="C26" s="13" t="s">
        <v>246</v>
      </c>
    </row>
    <row r="27" customFormat="false" ht="15" hidden="false" customHeight="false" outlineLevel="0" collapsed="false">
      <c r="A27" s="13" t="s">
        <v>261</v>
      </c>
      <c r="B27" s="16" t="s">
        <v>15</v>
      </c>
      <c r="C27" s="13" t="s">
        <v>249</v>
      </c>
    </row>
    <row r="28" customFormat="false" ht="15" hidden="false" customHeight="false" outlineLevel="0" collapsed="false">
      <c r="A28" s="13" t="s">
        <v>262</v>
      </c>
      <c r="B28" s="16" t="s">
        <v>15</v>
      </c>
      <c r="C28" s="13" t="s">
        <v>249</v>
      </c>
    </row>
    <row r="29" customFormat="false" ht="15" hidden="false" customHeight="false" outlineLevel="0" collapsed="false">
      <c r="A29" s="13" t="s">
        <v>263</v>
      </c>
      <c r="B29" s="16" t="s">
        <v>15</v>
      </c>
      <c r="C29" s="13" t="s">
        <v>249</v>
      </c>
    </row>
    <row r="30" customFormat="false" ht="15" hidden="false" customHeight="false" outlineLevel="0" collapsed="false">
      <c r="A30" s="13" t="s">
        <v>264</v>
      </c>
      <c r="B30" s="16" t="s">
        <v>15</v>
      </c>
      <c r="C30" s="13" t="s">
        <v>249</v>
      </c>
    </row>
    <row r="31" customFormat="false" ht="15" hidden="false" customHeight="false" outlineLevel="0" collapsed="false">
      <c r="A31" s="13" t="s">
        <v>265</v>
      </c>
      <c r="B31" s="16" t="s">
        <v>15</v>
      </c>
      <c r="C31" s="13" t="s">
        <v>249</v>
      </c>
    </row>
    <row r="32" customFormat="false" ht="15" hidden="false" customHeight="false" outlineLevel="0" collapsed="false">
      <c r="A32" s="13" t="s">
        <v>266</v>
      </c>
      <c r="B32" s="16" t="s">
        <v>15</v>
      </c>
      <c r="C32" s="13" t="s">
        <v>249</v>
      </c>
    </row>
    <row r="33" customFormat="false" ht="15" hidden="false" customHeight="false" outlineLevel="0" collapsed="false">
      <c r="A33" s="13" t="s">
        <v>267</v>
      </c>
      <c r="B33" s="16" t="s">
        <v>15</v>
      </c>
      <c r="C33" s="13" t="s">
        <v>246</v>
      </c>
    </row>
    <row r="34" customFormat="false" ht="15" hidden="false" customHeight="false" outlineLevel="0" collapsed="false">
      <c r="A34" s="13" t="s">
        <v>268</v>
      </c>
      <c r="B34" s="16" t="s">
        <v>15</v>
      </c>
      <c r="C34" s="13" t="s">
        <v>246</v>
      </c>
    </row>
    <row r="35" customFormat="false" ht="15" hidden="false" customHeight="false" outlineLevel="0" collapsed="false">
      <c r="A35" s="13" t="s">
        <v>269</v>
      </c>
      <c r="B35" s="16" t="s">
        <v>15</v>
      </c>
      <c r="C35" s="13" t="s">
        <v>249</v>
      </c>
    </row>
    <row r="36" customFormat="false" ht="15" hidden="false" customHeight="false" outlineLevel="0" collapsed="false">
      <c r="A36" s="13" t="s">
        <v>270</v>
      </c>
      <c r="B36" s="16" t="s">
        <v>15</v>
      </c>
      <c r="C36" s="13" t="s">
        <v>249</v>
      </c>
    </row>
    <row r="37" customFormat="false" ht="15" hidden="false" customHeight="false" outlineLevel="0" collapsed="false">
      <c r="A37" s="13" t="s">
        <v>271</v>
      </c>
      <c r="B37" s="16" t="s">
        <v>15</v>
      </c>
      <c r="C37" s="13" t="s">
        <v>249</v>
      </c>
    </row>
    <row r="38" customFormat="false" ht="15" hidden="false" customHeight="false" outlineLevel="0" collapsed="false">
      <c r="A38" s="13" t="s">
        <v>272</v>
      </c>
      <c r="B38" s="16" t="s">
        <v>15</v>
      </c>
      <c r="C38" s="13" t="s">
        <v>246</v>
      </c>
    </row>
    <row r="39" customFormat="false" ht="15" hidden="false" customHeight="false" outlineLevel="0" collapsed="false">
      <c r="A39" s="13" t="s">
        <v>273</v>
      </c>
      <c r="B39" s="16" t="s">
        <v>15</v>
      </c>
      <c r="C39" s="13" t="s">
        <v>249</v>
      </c>
    </row>
    <row r="40" customFormat="false" ht="15" hidden="false" customHeight="false" outlineLevel="0" collapsed="false">
      <c r="A40" s="13" t="s">
        <v>274</v>
      </c>
      <c r="B40" s="16" t="s">
        <v>15</v>
      </c>
      <c r="C40" s="13" t="s">
        <v>249</v>
      </c>
    </row>
    <row r="41" customFormat="false" ht="15" hidden="false" customHeight="false" outlineLevel="0" collapsed="false">
      <c r="A41" s="13" t="s">
        <v>275</v>
      </c>
      <c r="B41" s="16" t="s">
        <v>15</v>
      </c>
      <c r="C41" s="13" t="s">
        <v>249</v>
      </c>
    </row>
    <row r="42" customFormat="false" ht="15" hidden="false" customHeight="false" outlineLevel="0" collapsed="false">
      <c r="A42" s="13" t="s">
        <v>276</v>
      </c>
      <c r="B42" s="16" t="s">
        <v>15</v>
      </c>
      <c r="C42" s="13" t="s">
        <v>249</v>
      </c>
    </row>
    <row r="43" customFormat="false" ht="15" hidden="false" customHeight="false" outlineLevel="0" collapsed="false">
      <c r="A43" s="13" t="s">
        <v>277</v>
      </c>
      <c r="B43" s="16" t="s">
        <v>15</v>
      </c>
      <c r="C43" s="13" t="s">
        <v>249</v>
      </c>
    </row>
    <row r="44" customFormat="false" ht="15" hidden="false" customHeight="false" outlineLevel="0" collapsed="false">
      <c r="A44" s="13" t="s">
        <v>278</v>
      </c>
      <c r="B44" s="16" t="s">
        <v>15</v>
      </c>
      <c r="C44" s="13" t="s">
        <v>249</v>
      </c>
    </row>
    <row r="45" customFormat="false" ht="15" hidden="false" customHeight="false" outlineLevel="0" collapsed="false">
      <c r="A45" s="13" t="s">
        <v>279</v>
      </c>
      <c r="B45" s="16" t="s">
        <v>15</v>
      </c>
      <c r="C45" s="13" t="s">
        <v>246</v>
      </c>
    </row>
    <row r="46" customFormat="false" ht="15" hidden="false" customHeight="false" outlineLevel="0" collapsed="false">
      <c r="A46" s="13" t="s">
        <v>280</v>
      </c>
      <c r="B46" s="16" t="s">
        <v>15</v>
      </c>
      <c r="C46" s="13" t="s">
        <v>281</v>
      </c>
    </row>
    <row r="47" customFormat="false" ht="15" hidden="false" customHeight="false" outlineLevel="0" collapsed="false">
      <c r="A47" s="13" t="s">
        <v>282</v>
      </c>
      <c r="B47" s="16" t="s">
        <v>15</v>
      </c>
      <c r="C47" s="13" t="s">
        <v>249</v>
      </c>
    </row>
    <row r="48" customFormat="false" ht="15" hidden="false" customHeight="false" outlineLevel="0" collapsed="false">
      <c r="A48" s="13" t="s">
        <v>283</v>
      </c>
      <c r="B48" s="16" t="s">
        <v>15</v>
      </c>
      <c r="C48" s="13" t="s">
        <v>249</v>
      </c>
    </row>
    <row r="49" customFormat="false" ht="15" hidden="false" customHeight="false" outlineLevel="0" collapsed="false">
      <c r="A49" s="13" t="s">
        <v>284</v>
      </c>
      <c r="B49" s="16" t="s">
        <v>15</v>
      </c>
      <c r="C49" s="13" t="s">
        <v>249</v>
      </c>
    </row>
    <row r="50" customFormat="false" ht="15" hidden="false" customHeight="false" outlineLevel="0" collapsed="false">
      <c r="A50" s="13" t="s">
        <v>285</v>
      </c>
      <c r="B50" s="16" t="s">
        <v>15</v>
      </c>
      <c r="C50" s="13" t="s">
        <v>249</v>
      </c>
    </row>
    <row r="51" customFormat="false" ht="15" hidden="false" customHeight="false" outlineLevel="0" collapsed="false">
      <c r="A51" s="13" t="s">
        <v>286</v>
      </c>
      <c r="B51" s="16" t="s">
        <v>15</v>
      </c>
      <c r="C51" s="13" t="s">
        <v>249</v>
      </c>
    </row>
    <row r="52" customFormat="false" ht="15" hidden="false" customHeight="false" outlineLevel="0" collapsed="false">
      <c r="A52" s="13" t="s">
        <v>287</v>
      </c>
      <c r="B52" s="16" t="s">
        <v>15</v>
      </c>
      <c r="C52" s="13" t="s">
        <v>249</v>
      </c>
    </row>
    <row r="53" customFormat="false" ht="15" hidden="false" customHeight="false" outlineLevel="0" collapsed="false">
      <c r="A53" s="13" t="s">
        <v>288</v>
      </c>
      <c r="B53" s="16" t="s">
        <v>15</v>
      </c>
      <c r="C53" s="13" t="s">
        <v>249</v>
      </c>
    </row>
    <row r="54" customFormat="false" ht="15" hidden="false" customHeight="false" outlineLevel="0" collapsed="false">
      <c r="A54" s="13" t="s">
        <v>289</v>
      </c>
      <c r="B54" s="16" t="s">
        <v>15</v>
      </c>
      <c r="C54" s="13" t="s">
        <v>249</v>
      </c>
    </row>
    <row r="55" customFormat="false" ht="15" hidden="false" customHeight="false" outlineLevel="0" collapsed="false">
      <c r="A55" s="13" t="s">
        <v>290</v>
      </c>
      <c r="B55" s="16" t="s">
        <v>15</v>
      </c>
      <c r="C55" s="13" t="s">
        <v>249</v>
      </c>
    </row>
    <row r="56" customFormat="false" ht="15" hidden="false" customHeight="false" outlineLevel="0" collapsed="false">
      <c r="A56" s="13" t="s">
        <v>291</v>
      </c>
      <c r="B56" s="16" t="s">
        <v>15</v>
      </c>
      <c r="C56" s="13" t="s">
        <v>249</v>
      </c>
    </row>
    <row r="57" customFormat="false" ht="15" hidden="false" customHeight="false" outlineLevel="0" collapsed="false">
      <c r="A57" s="13" t="s">
        <v>292</v>
      </c>
      <c r="B57" s="16" t="s">
        <v>15</v>
      </c>
      <c r="C57" s="13" t="s">
        <v>249</v>
      </c>
    </row>
    <row r="58" customFormat="false" ht="15" hidden="false" customHeight="false" outlineLevel="0" collapsed="false">
      <c r="A58" s="13" t="s">
        <v>293</v>
      </c>
      <c r="B58" s="16" t="s">
        <v>15</v>
      </c>
      <c r="C58" s="13" t="s">
        <v>249</v>
      </c>
    </row>
    <row r="59" customFormat="false" ht="15" hidden="false" customHeight="false" outlineLevel="0" collapsed="false">
      <c r="A59" s="13" t="s">
        <v>294</v>
      </c>
      <c r="B59" s="16" t="s">
        <v>15</v>
      </c>
      <c r="C59" s="13" t="s">
        <v>246</v>
      </c>
    </row>
    <row r="60" customFormat="false" ht="15" hidden="false" customHeight="false" outlineLevel="0" collapsed="false">
      <c r="A60" s="13" t="s">
        <v>295</v>
      </c>
      <c r="B60" s="16" t="s">
        <v>15</v>
      </c>
      <c r="C60" s="13" t="s">
        <v>246</v>
      </c>
    </row>
    <row r="61" customFormat="false" ht="15" hidden="false" customHeight="false" outlineLevel="0" collapsed="false">
      <c r="A61" s="13" t="s">
        <v>296</v>
      </c>
      <c r="B61" s="16" t="s">
        <v>15</v>
      </c>
      <c r="C61" s="13" t="s">
        <v>249</v>
      </c>
    </row>
    <row r="62" customFormat="false" ht="15" hidden="false" customHeight="false" outlineLevel="0" collapsed="false">
      <c r="A62" s="13" t="s">
        <v>297</v>
      </c>
      <c r="B62" s="16" t="s">
        <v>15</v>
      </c>
      <c r="C62" s="13" t="s">
        <v>249</v>
      </c>
    </row>
    <row r="63" customFormat="false" ht="15" hidden="false" customHeight="false" outlineLevel="0" collapsed="false">
      <c r="A63" s="13" t="s">
        <v>130</v>
      </c>
      <c r="B63" s="17" t="s">
        <v>17</v>
      </c>
      <c r="C63" s="13" t="n">
        <v>12</v>
      </c>
    </row>
    <row r="64" customFormat="false" ht="15" hidden="false" customHeight="false" outlineLevel="0" collapsed="false">
      <c r="A64" s="13" t="s">
        <v>298</v>
      </c>
      <c r="B64" s="17" t="s">
        <v>17</v>
      </c>
      <c r="C64" s="13" t="n">
        <v>3</v>
      </c>
    </row>
    <row r="65" customFormat="false" ht="15" hidden="false" customHeight="false" outlineLevel="0" collapsed="false">
      <c r="A65" s="13" t="s">
        <v>299</v>
      </c>
      <c r="B65" s="17" t="s">
        <v>17</v>
      </c>
      <c r="C65" s="13" t="n">
        <v>2</v>
      </c>
    </row>
    <row r="66" customFormat="false" ht="15" hidden="false" customHeight="false" outlineLevel="0" collapsed="false">
      <c r="A66" s="13" t="s">
        <v>300</v>
      </c>
      <c r="B66" s="17" t="s">
        <v>17</v>
      </c>
      <c r="C66" s="13" t="n">
        <v>3</v>
      </c>
    </row>
    <row r="67" customFormat="false" ht="15" hidden="false" customHeight="false" outlineLevel="0" collapsed="false">
      <c r="A67" s="13" t="s">
        <v>301</v>
      </c>
      <c r="B67" s="17" t="s">
        <v>17</v>
      </c>
      <c r="C67" s="13" t="n">
        <v>2</v>
      </c>
    </row>
    <row r="68" customFormat="false" ht="15" hidden="false" customHeight="false" outlineLevel="0" collapsed="false">
      <c r="A68" s="13" t="s">
        <v>302</v>
      </c>
      <c r="B68" s="17" t="s">
        <v>17</v>
      </c>
      <c r="C68" s="13" t="n">
        <v>2</v>
      </c>
    </row>
    <row r="69" customFormat="false" ht="15" hidden="false" customHeight="false" outlineLevel="0" collapsed="false">
      <c r="A69" s="13" t="s">
        <v>136</v>
      </c>
      <c r="B69" s="17" t="s">
        <v>17</v>
      </c>
      <c r="C69" s="13" t="n">
        <v>5</v>
      </c>
    </row>
    <row r="70" customFormat="false" ht="15" hidden="false" customHeight="false" outlineLevel="0" collapsed="false">
      <c r="A70" s="13" t="s">
        <v>139</v>
      </c>
      <c r="B70" s="17" t="s">
        <v>17</v>
      </c>
      <c r="C70" s="13" t="n">
        <v>8</v>
      </c>
    </row>
    <row r="71" customFormat="false" ht="15" hidden="false" customHeight="false" outlineLevel="0" collapsed="false">
      <c r="A71" s="13" t="s">
        <v>143</v>
      </c>
      <c r="B71" s="17" t="s">
        <v>17</v>
      </c>
      <c r="C71" s="13" t="n">
        <v>16</v>
      </c>
    </row>
    <row r="72" customFormat="false" ht="15" hidden="false" customHeight="false" outlineLevel="0" collapsed="false">
      <c r="A72" s="13" t="s">
        <v>146</v>
      </c>
      <c r="B72" s="17" t="s">
        <v>17</v>
      </c>
      <c r="C72" s="13" t="n">
        <v>6</v>
      </c>
    </row>
    <row r="73" customFormat="false" ht="15" hidden="false" customHeight="false" outlineLevel="0" collapsed="false">
      <c r="A73" s="13" t="s">
        <v>148</v>
      </c>
      <c r="B73" s="17" t="s">
        <v>17</v>
      </c>
      <c r="C73" s="13" t="n">
        <v>2</v>
      </c>
    </row>
    <row r="74" customFormat="false" ht="15" hidden="false" customHeight="false" outlineLevel="0" collapsed="false">
      <c r="A74" s="13" t="s">
        <v>151</v>
      </c>
      <c r="B74" s="17" t="s">
        <v>17</v>
      </c>
      <c r="C74" s="13" t="n">
        <v>28</v>
      </c>
    </row>
    <row r="75" customFormat="false" ht="15" hidden="false" customHeight="false" outlineLevel="0" collapsed="false">
      <c r="A75" s="13" t="s">
        <v>155</v>
      </c>
      <c r="B75" s="18" t="s">
        <v>16</v>
      </c>
      <c r="C75" s="13" t="s">
        <v>303</v>
      </c>
    </row>
    <row r="76" customFormat="false" ht="15" hidden="false" customHeight="false" outlineLevel="0" collapsed="false">
      <c r="A76" s="13" t="s">
        <v>158</v>
      </c>
      <c r="B76" s="18" t="s">
        <v>16</v>
      </c>
      <c r="C76" s="13" t="s">
        <v>304</v>
      </c>
    </row>
    <row r="77" customFormat="false" ht="15" hidden="false" customHeight="false" outlineLevel="0" collapsed="false">
      <c r="A77" s="13" t="s">
        <v>161</v>
      </c>
      <c r="B77" s="18" t="s">
        <v>16</v>
      </c>
      <c r="C77" s="13" t="s">
        <v>305</v>
      </c>
    </row>
    <row r="78" customFormat="false" ht="15" hidden="false" customHeight="false" outlineLevel="0" collapsed="false">
      <c r="A78" s="13" t="s">
        <v>306</v>
      </c>
      <c r="B78" s="18" t="s">
        <v>16</v>
      </c>
      <c r="C78" s="13" t="n">
        <v>0</v>
      </c>
    </row>
    <row r="79" customFormat="false" ht="15" hidden="false" customHeight="false" outlineLevel="0" collapsed="false">
      <c r="A79" s="13" t="s">
        <v>307</v>
      </c>
      <c r="B79" s="18" t="s">
        <v>16</v>
      </c>
      <c r="C79" s="13" t="n">
        <v>1</v>
      </c>
    </row>
    <row r="80" customFormat="false" ht="15" hidden="false" customHeight="false" outlineLevel="0" collapsed="false">
      <c r="A80" s="13" t="s">
        <v>308</v>
      </c>
      <c r="B80" s="18" t="s">
        <v>16</v>
      </c>
      <c r="C80" s="13" t="n">
        <v>0</v>
      </c>
    </row>
    <row r="81" customFormat="false" ht="15" hidden="false" customHeight="false" outlineLevel="0" collapsed="false">
      <c r="A81" s="13" t="s">
        <v>309</v>
      </c>
      <c r="B81" s="18" t="s">
        <v>16</v>
      </c>
      <c r="C81" s="13" t="n">
        <v>1</v>
      </c>
    </row>
    <row r="82" customFormat="false" ht="15" hidden="false" customHeight="false" outlineLevel="0" collapsed="false">
      <c r="A82" s="13" t="s">
        <v>310</v>
      </c>
      <c r="B82" s="18" t="s">
        <v>16</v>
      </c>
      <c r="C82" s="13" t="n">
        <v>0</v>
      </c>
    </row>
    <row r="83" customFormat="false" ht="15" hidden="false" customHeight="false" outlineLevel="0" collapsed="false">
      <c r="A83" s="13" t="s">
        <v>311</v>
      </c>
      <c r="B83" s="18" t="s">
        <v>16</v>
      </c>
      <c r="C83" s="13" t="n">
        <v>0</v>
      </c>
    </row>
    <row r="84" customFormat="false" ht="15" hidden="false" customHeight="false" outlineLevel="0" collapsed="false">
      <c r="A84" s="13" t="s">
        <v>312</v>
      </c>
      <c r="B84" s="18" t="s">
        <v>16</v>
      </c>
      <c r="C84" s="13" t="n">
        <v>0</v>
      </c>
    </row>
    <row r="85" customFormat="false" ht="15" hidden="false" customHeight="false" outlineLevel="0" collapsed="false">
      <c r="A85" s="13" t="s">
        <v>313</v>
      </c>
      <c r="B85" s="18" t="s">
        <v>16</v>
      </c>
      <c r="C85" s="13" t="n">
        <v>0</v>
      </c>
    </row>
    <row r="86" customFormat="false" ht="15" hidden="false" customHeight="false" outlineLevel="0" collapsed="false">
      <c r="A86" s="13" t="s">
        <v>314</v>
      </c>
      <c r="B86" s="18" t="s">
        <v>16</v>
      </c>
      <c r="C86" s="13" t="n">
        <v>0</v>
      </c>
    </row>
    <row r="87" customFormat="false" ht="15" hidden="false" customHeight="false" outlineLevel="0" collapsed="false">
      <c r="A87" s="13" t="s">
        <v>315</v>
      </c>
      <c r="B87" s="18" t="s">
        <v>16</v>
      </c>
      <c r="C87" s="13" t="n">
        <v>1</v>
      </c>
    </row>
    <row r="88" customFormat="false" ht="15" hidden="false" customHeight="false" outlineLevel="0" collapsed="false">
      <c r="A88" s="13" t="s">
        <v>316</v>
      </c>
      <c r="B88" s="18" t="s">
        <v>16</v>
      </c>
      <c r="C88" s="13" t="n">
        <v>0</v>
      </c>
    </row>
    <row r="89" customFormat="false" ht="15" hidden="false" customHeight="false" outlineLevel="0" collapsed="false">
      <c r="A89" s="13" t="s">
        <v>317</v>
      </c>
      <c r="B89" s="18" t="s">
        <v>16</v>
      </c>
      <c r="C89" s="13" t="n">
        <v>1</v>
      </c>
    </row>
    <row r="90" customFormat="false" ht="15" hidden="false" customHeight="false" outlineLevel="0" collapsed="false">
      <c r="A90" s="13" t="s">
        <v>318</v>
      </c>
      <c r="B90" s="18" t="s">
        <v>16</v>
      </c>
      <c r="C90" s="13" t="n">
        <v>0</v>
      </c>
    </row>
    <row r="91" customFormat="false" ht="15" hidden="false" customHeight="false" outlineLevel="0" collapsed="false">
      <c r="A91" s="13" t="s">
        <v>319</v>
      </c>
      <c r="B91" s="18" t="s">
        <v>16</v>
      </c>
      <c r="C91" s="13" t="n">
        <v>1</v>
      </c>
    </row>
    <row r="92" customFormat="false" ht="15" hidden="false" customHeight="false" outlineLevel="0" collapsed="false">
      <c r="A92" s="13" t="s">
        <v>320</v>
      </c>
      <c r="B92" s="18" t="s">
        <v>16</v>
      </c>
      <c r="C92" s="13" t="n">
        <v>0</v>
      </c>
    </row>
    <row r="93" customFormat="false" ht="15" hidden="false" customHeight="false" outlineLevel="0" collapsed="false">
      <c r="A93" s="13" t="s">
        <v>321</v>
      </c>
      <c r="B93" s="18" t="s">
        <v>16</v>
      </c>
      <c r="C93" s="13" t="n">
        <v>1</v>
      </c>
    </row>
    <row r="94" customFormat="false" ht="15" hidden="false" customHeight="false" outlineLevel="0" collapsed="false">
      <c r="A94" s="13" t="s">
        <v>322</v>
      </c>
      <c r="B94" s="18" t="s">
        <v>16</v>
      </c>
      <c r="C94" s="13" t="n">
        <v>0</v>
      </c>
    </row>
    <row r="95" customFormat="false" ht="15" hidden="false" customHeight="false" outlineLevel="0" collapsed="false">
      <c r="A95" s="13" t="s">
        <v>323</v>
      </c>
      <c r="B95" s="18" t="s">
        <v>16</v>
      </c>
      <c r="C95" s="13" t="n">
        <v>0</v>
      </c>
    </row>
    <row r="96" customFormat="false" ht="15" hidden="false" customHeight="false" outlineLevel="0" collapsed="false">
      <c r="A96" s="13" t="s">
        <v>324</v>
      </c>
      <c r="B96" s="18" t="s">
        <v>16</v>
      </c>
      <c r="C96" s="13" t="n">
        <v>0</v>
      </c>
    </row>
    <row r="97" customFormat="false" ht="15" hidden="false" customHeight="false" outlineLevel="0" collapsed="false">
      <c r="A97" s="13" t="s">
        <v>325</v>
      </c>
      <c r="B97" s="18" t="s">
        <v>16</v>
      </c>
      <c r="C97" s="13" t="n">
        <v>0</v>
      </c>
    </row>
    <row r="98" customFormat="false" ht="15" hidden="false" customHeight="false" outlineLevel="0" collapsed="false">
      <c r="A98" s="13" t="s">
        <v>176</v>
      </c>
      <c r="B98" s="18" t="s">
        <v>16</v>
      </c>
      <c r="C98" s="13" t="s">
        <v>326</v>
      </c>
    </row>
    <row r="99" customFormat="false" ht="15" hidden="false" customHeight="false" outlineLevel="0" collapsed="false">
      <c r="A99" s="13" t="s">
        <v>179</v>
      </c>
      <c r="B99" s="18" t="s">
        <v>16</v>
      </c>
      <c r="C99" s="13" t="n">
        <v>60</v>
      </c>
    </row>
    <row r="100" customFormat="false" ht="15" hidden="false" customHeight="false" outlineLevel="0" collapsed="false">
      <c r="A100" s="13" t="s">
        <v>182</v>
      </c>
      <c r="B100" s="18" t="s">
        <v>16</v>
      </c>
      <c r="C100" s="13" t="s">
        <v>243</v>
      </c>
    </row>
    <row r="101" customFormat="false" ht="15" hidden="false" customHeight="false" outlineLevel="0" collapsed="false">
      <c r="A101" s="13" t="s">
        <v>185</v>
      </c>
      <c r="B101" s="18" t="s">
        <v>16</v>
      </c>
      <c r="C101" s="13" t="n">
        <v>120</v>
      </c>
    </row>
    <row r="102" customFormat="false" ht="15" hidden="false" customHeight="false" outlineLevel="0" collapsed="false">
      <c r="A102" s="13" t="s">
        <v>188</v>
      </c>
      <c r="B102" s="18" t="s">
        <v>16</v>
      </c>
      <c r="C102" s="13" t="n">
        <v>2</v>
      </c>
    </row>
    <row r="103" customFormat="false" ht="15" hidden="false" customHeight="false" outlineLevel="0" collapsed="false">
      <c r="A103" s="13" t="s">
        <v>192</v>
      </c>
      <c r="B103" s="18" t="s">
        <v>16</v>
      </c>
      <c r="C103" s="13" t="n">
        <v>1</v>
      </c>
    </row>
    <row r="104" customFormat="false" ht="15" hidden="false" customHeight="false" outlineLevel="0" collapsed="false">
      <c r="A104" s="13" t="s">
        <v>194</v>
      </c>
      <c r="B104" s="18" t="s">
        <v>16</v>
      </c>
      <c r="C104" s="13" t="s">
        <v>327</v>
      </c>
    </row>
    <row r="105" customFormat="false" ht="15" hidden="false" customHeight="false" outlineLevel="0" collapsed="false">
      <c r="A105" s="13" t="s">
        <v>198</v>
      </c>
      <c r="B105" s="18" t="s">
        <v>16</v>
      </c>
      <c r="C105" s="13" t="s">
        <v>328</v>
      </c>
    </row>
    <row r="106" customFormat="false" ht="15" hidden="false" customHeight="false" outlineLevel="0" collapsed="false">
      <c r="A106" s="13" t="s">
        <v>201</v>
      </c>
      <c r="B106" s="18" t="s">
        <v>16</v>
      </c>
      <c r="C106" s="13" t="s">
        <v>329</v>
      </c>
    </row>
    <row r="107" customFormat="false" ht="15" hidden="false" customHeight="false" outlineLevel="0" collapsed="false">
      <c r="A107" s="13" t="s">
        <v>205</v>
      </c>
      <c r="B107" s="17" t="s">
        <v>17</v>
      </c>
      <c r="C107" s="13" t="s">
        <v>330</v>
      </c>
    </row>
    <row r="108" customFormat="false" ht="15" hidden="false" customHeight="false" outlineLevel="0" collapsed="false">
      <c r="A108" s="13" t="s">
        <v>208</v>
      </c>
      <c r="B108" s="17" t="s">
        <v>17</v>
      </c>
      <c r="C108" s="13" t="s">
        <v>331</v>
      </c>
    </row>
    <row r="109" customFormat="false" ht="15" hidden="false" customHeight="false" outlineLevel="0" collapsed="false">
      <c r="A109" s="13" t="s">
        <v>332</v>
      </c>
      <c r="B109" s="18" t="s">
        <v>16</v>
      </c>
      <c r="C109" s="13" t="s">
        <v>333</v>
      </c>
    </row>
    <row r="110" customFormat="false" ht="15" hidden="false" customHeight="false" outlineLevel="0" collapsed="false">
      <c r="A110" s="13" t="s">
        <v>334</v>
      </c>
      <c r="B110" s="18" t="s">
        <v>16</v>
      </c>
      <c r="C110" s="13" t="s">
        <v>329</v>
      </c>
    </row>
    <row r="111" customFormat="false" ht="15" hidden="false" customHeight="false" outlineLevel="0" collapsed="false">
      <c r="A111" s="13" t="s">
        <v>335</v>
      </c>
      <c r="B111" s="18" t="s">
        <v>16</v>
      </c>
      <c r="C111" s="13" t="s">
        <v>336</v>
      </c>
    </row>
    <row r="112" customFormat="false" ht="15" hidden="false" customHeight="false" outlineLevel="0" collapsed="false">
      <c r="A112" s="13" t="s">
        <v>337</v>
      </c>
      <c r="B112" s="18" t="s">
        <v>16</v>
      </c>
      <c r="C112" s="13" t="s">
        <v>338</v>
      </c>
    </row>
    <row r="113" customFormat="false" ht="15" hidden="false" customHeight="false" outlineLevel="0" collapsed="false">
      <c r="A113" s="13" t="s">
        <v>216</v>
      </c>
      <c r="B113" s="18" t="s">
        <v>16</v>
      </c>
      <c r="C113" s="13" t="n">
        <v>4</v>
      </c>
    </row>
    <row r="114" customFormat="false" ht="15" hidden="false" customHeight="false" outlineLevel="0" collapsed="false">
      <c r="A114" s="13" t="s">
        <v>218</v>
      </c>
      <c r="B114" s="18" t="s">
        <v>16</v>
      </c>
      <c r="C114" s="13" t="s">
        <v>339</v>
      </c>
    </row>
    <row r="115" customFormat="false" ht="15" hidden="false" customHeight="false" outlineLevel="0" collapsed="false">
      <c r="A115" s="13" t="s">
        <v>223</v>
      </c>
      <c r="B115" s="15" t="s">
        <v>18</v>
      </c>
      <c r="C115" s="13" t="n">
        <v>0</v>
      </c>
    </row>
    <row r="116" customFormat="false" ht="15" hidden="false" customHeight="false" outlineLevel="0" collapsed="false">
      <c r="A116" s="13" t="s">
        <v>225</v>
      </c>
      <c r="B116" s="15" t="s">
        <v>18</v>
      </c>
      <c r="C116" s="13" t="n">
        <v>1</v>
      </c>
    </row>
    <row r="117" customFormat="false" ht="15" hidden="false" customHeight="false" outlineLevel="0" collapsed="false">
      <c r="A117" s="13" t="s">
        <v>227</v>
      </c>
      <c r="B117" s="15" t="s">
        <v>18</v>
      </c>
      <c r="C117" s="13" t="n">
        <v>48</v>
      </c>
    </row>
    <row r="118" customFormat="false" ht="15" hidden="false" customHeight="false" outlineLevel="0" collapsed="false">
      <c r="A118" s="13" t="s">
        <v>230</v>
      </c>
      <c r="B118" s="15" t="s">
        <v>18</v>
      </c>
      <c r="C118" s="13" t="s">
        <v>340</v>
      </c>
    </row>
    <row r="119" customFormat="false" ht="15" hidden="false" customHeight="false" outlineLevel="0" collapsed="false">
      <c r="A119" s="13" t="s">
        <v>234</v>
      </c>
      <c r="B119" s="15" t="s">
        <v>18</v>
      </c>
      <c r="C119" s="1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0"/>
    <col collapsed="false" customWidth="true" hidden="false" outlineLevel="0" max="3" min="3" style="0" width="45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2" t="s">
        <v>341</v>
      </c>
    </row>
    <row r="3" customFormat="false" ht="15" hidden="false" customHeight="false" outlineLevel="0" collapsed="false">
      <c r="A3" s="4" t="s">
        <v>342</v>
      </c>
      <c r="B3" s="4" t="s">
        <v>343</v>
      </c>
      <c r="C3" s="4" t="s">
        <v>344</v>
      </c>
      <c r="D3" s="4" t="s">
        <v>345</v>
      </c>
    </row>
    <row r="4" customFormat="false" ht="23.85" hidden="false" customHeight="false" outlineLevel="0" collapsed="false">
      <c r="A4" s="13" t="s">
        <v>35</v>
      </c>
      <c r="B4" s="13" t="s">
        <v>346</v>
      </c>
      <c r="C4" s="13" t="s">
        <v>347</v>
      </c>
      <c r="D4" s="13" t="s">
        <v>348</v>
      </c>
    </row>
    <row r="5" customFormat="false" ht="23.85" hidden="false" customHeight="false" outlineLevel="0" collapsed="false">
      <c r="A5" s="13" t="s">
        <v>77</v>
      </c>
      <c r="B5" s="13" t="s">
        <v>349</v>
      </c>
      <c r="C5" s="13" t="s">
        <v>350</v>
      </c>
      <c r="D5" s="13" t="s">
        <v>351</v>
      </c>
    </row>
    <row r="6" customFormat="false" ht="15" hidden="false" customHeight="false" outlineLevel="0" collapsed="false">
      <c r="A6" s="13" t="s">
        <v>77</v>
      </c>
      <c r="B6" s="13" t="s">
        <v>352</v>
      </c>
      <c r="C6" s="13" t="s">
        <v>353</v>
      </c>
      <c r="D6" s="13" t="s">
        <v>354</v>
      </c>
    </row>
    <row r="7" customFormat="false" ht="23.85" hidden="false" customHeight="false" outlineLevel="0" collapsed="false">
      <c r="A7" s="13" t="s">
        <v>77</v>
      </c>
      <c r="B7" s="13" t="s">
        <v>355</v>
      </c>
      <c r="C7" s="13" t="s">
        <v>356</v>
      </c>
      <c r="D7" s="13" t="s">
        <v>357</v>
      </c>
    </row>
    <row r="8" customFormat="false" ht="23.85" hidden="false" customHeight="false" outlineLevel="0" collapsed="false">
      <c r="A8" s="13" t="s">
        <v>45</v>
      </c>
      <c r="B8" s="13" t="s">
        <v>358</v>
      </c>
      <c r="C8" s="13" t="s">
        <v>359</v>
      </c>
      <c r="D8" s="13" t="s">
        <v>360</v>
      </c>
    </row>
    <row r="9" customFormat="false" ht="15" hidden="false" customHeight="false" outlineLevel="0" collapsed="false">
      <c r="A9" s="13" t="s">
        <v>45</v>
      </c>
      <c r="B9" s="13" t="s">
        <v>361</v>
      </c>
      <c r="C9" s="13" t="s">
        <v>362</v>
      </c>
      <c r="D9" s="13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2026-10-25T21:03:10Z</dcterms:created>
  <dc:creator>openpyxl</dc:creator>
  <dc:description/>
  <dc:language>en-US</dc:language>
  <cp:lastModifiedBy/>
  <dcterms:modified xsi:type="dcterms:W3CDTF">2026-10-25T21:03:10Z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